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2"/>
  <workbookPr date1904="1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calvarez/Desktop/IT Solutions/2024/ECSA/Reporte/Plano Trazab/"/>
    </mc:Choice>
  </mc:AlternateContent>
  <xr:revisionPtr revIDLastSave="0" documentId="8_{5281CF16-B6FF-3C4B-A9D7-2117BA8FCEA5}" xr6:coauthVersionLast="47" xr6:coauthVersionMax="47" xr10:uidLastSave="{00000000-0000-0000-0000-000000000000}"/>
  <bookViews>
    <workbookView xWindow="38480" yWindow="500" windowWidth="33440" windowHeight="18360" xr2:uid="{BE95434F-D71E-444E-AFE1-9260706183DC}"/>
  </bookViews>
  <sheets>
    <sheet name="Semana 40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T2" i="1" l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174" i="1"/>
  <c r="T36" i="1"/>
  <c r="T37" i="1"/>
  <c r="T38" i="1"/>
  <c r="T175" i="1"/>
  <c r="T40" i="1"/>
  <c r="T41" i="1"/>
  <c r="T42" i="1"/>
  <c r="T177" i="1"/>
  <c r="T44" i="1"/>
  <c r="T45" i="1"/>
  <c r="T46" i="1"/>
  <c r="T47" i="1"/>
  <c r="T197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39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68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63" i="1"/>
  <c r="T102" i="1"/>
  <c r="T103" i="1"/>
  <c r="T221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84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208" i="1"/>
  <c r="T157" i="1"/>
  <c r="T218" i="1"/>
  <c r="T159" i="1"/>
  <c r="T160" i="1"/>
  <c r="T161" i="1"/>
  <c r="T162" i="1"/>
  <c r="T129" i="1"/>
  <c r="T164" i="1"/>
  <c r="T158" i="1"/>
  <c r="T166" i="1"/>
  <c r="T167" i="1"/>
  <c r="T168" i="1"/>
  <c r="T169" i="1"/>
  <c r="T43" i="1"/>
  <c r="T171" i="1"/>
  <c r="T172" i="1"/>
  <c r="T173" i="1"/>
  <c r="T165" i="1"/>
  <c r="T170" i="1"/>
  <c r="T176" i="1"/>
  <c r="T101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35" i="1"/>
  <c r="T198" i="1"/>
  <c r="T199" i="1"/>
  <c r="T200" i="1"/>
  <c r="T201" i="1"/>
  <c r="T202" i="1"/>
  <c r="T203" i="1"/>
  <c r="T204" i="1"/>
  <c r="T205" i="1"/>
  <c r="T206" i="1"/>
  <c r="T207" i="1"/>
  <c r="T156" i="1"/>
  <c r="T209" i="1"/>
  <c r="T210" i="1"/>
  <c r="T211" i="1"/>
  <c r="T212" i="1"/>
  <c r="T213" i="1"/>
  <c r="T214" i="1"/>
  <c r="T215" i="1"/>
  <c r="T216" i="1"/>
  <c r="T217" i="1"/>
  <c r="T48" i="1"/>
  <c r="T219" i="1"/>
  <c r="T220" i="1"/>
  <c r="T104" i="1"/>
  <c r="T222" i="1"/>
  <c r="T223" i="1"/>
  <c r="T224" i="1"/>
  <c r="T225" i="1"/>
  <c r="T226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174" i="1"/>
  <c r="S36" i="1"/>
  <c r="S37" i="1"/>
  <c r="S38" i="1"/>
  <c r="S175" i="1"/>
  <c r="S40" i="1"/>
  <c r="S41" i="1"/>
  <c r="S42" i="1"/>
  <c r="S177" i="1"/>
  <c r="S44" i="1"/>
  <c r="S45" i="1"/>
  <c r="S46" i="1"/>
  <c r="S47" i="1"/>
  <c r="S197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39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68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63" i="1"/>
  <c r="S102" i="1"/>
  <c r="S103" i="1"/>
  <c r="S221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84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208" i="1"/>
  <c r="S157" i="1"/>
  <c r="S218" i="1"/>
  <c r="S159" i="1"/>
  <c r="S160" i="1"/>
  <c r="S161" i="1"/>
  <c r="S162" i="1"/>
  <c r="S129" i="1"/>
  <c r="S164" i="1"/>
  <c r="S158" i="1"/>
  <c r="S166" i="1"/>
  <c r="S167" i="1"/>
  <c r="S168" i="1"/>
  <c r="S169" i="1"/>
  <c r="S43" i="1"/>
  <c r="S171" i="1"/>
  <c r="S172" i="1"/>
  <c r="S173" i="1"/>
  <c r="S165" i="1"/>
  <c r="S170" i="1"/>
  <c r="S176" i="1"/>
  <c r="S101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35" i="1"/>
  <c r="S198" i="1"/>
  <c r="S199" i="1"/>
  <c r="S200" i="1"/>
  <c r="S201" i="1"/>
  <c r="S202" i="1"/>
  <c r="S203" i="1"/>
  <c r="S204" i="1"/>
  <c r="S205" i="1"/>
  <c r="S206" i="1"/>
  <c r="S207" i="1"/>
  <c r="S156" i="1"/>
  <c r="S209" i="1"/>
  <c r="S210" i="1"/>
  <c r="S211" i="1"/>
  <c r="S212" i="1"/>
  <c r="S213" i="1"/>
  <c r="S214" i="1"/>
  <c r="S215" i="1"/>
  <c r="S216" i="1"/>
  <c r="S217" i="1"/>
  <c r="S48" i="1"/>
  <c r="S219" i="1"/>
  <c r="S220" i="1"/>
  <c r="S104" i="1"/>
  <c r="S222" i="1"/>
  <c r="S223" i="1"/>
  <c r="S224" i="1"/>
  <c r="S225" i="1"/>
  <c r="S226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174" i="1"/>
  <c r="R36" i="1"/>
  <c r="R37" i="1"/>
  <c r="R38" i="1"/>
  <c r="R175" i="1"/>
  <c r="R40" i="1"/>
  <c r="R41" i="1"/>
  <c r="R42" i="1"/>
  <c r="R177" i="1"/>
  <c r="R44" i="1"/>
  <c r="R45" i="1"/>
  <c r="R46" i="1"/>
  <c r="R47" i="1"/>
  <c r="R197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39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68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63" i="1"/>
  <c r="R102" i="1"/>
  <c r="R103" i="1"/>
  <c r="R221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84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208" i="1"/>
  <c r="R157" i="1"/>
  <c r="R218" i="1"/>
  <c r="R159" i="1"/>
  <c r="R160" i="1"/>
  <c r="R161" i="1"/>
  <c r="R162" i="1"/>
  <c r="R129" i="1"/>
  <c r="R164" i="1"/>
  <c r="R158" i="1"/>
  <c r="R166" i="1"/>
  <c r="R167" i="1"/>
  <c r="R168" i="1"/>
  <c r="R169" i="1"/>
  <c r="R43" i="1"/>
  <c r="R171" i="1"/>
  <c r="R172" i="1"/>
  <c r="R173" i="1"/>
  <c r="R165" i="1"/>
  <c r="R170" i="1"/>
  <c r="R176" i="1"/>
  <c r="R101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35" i="1"/>
  <c r="R198" i="1"/>
  <c r="R199" i="1"/>
  <c r="R200" i="1"/>
  <c r="R201" i="1"/>
  <c r="R202" i="1"/>
  <c r="R203" i="1"/>
  <c r="R204" i="1"/>
  <c r="R205" i="1"/>
  <c r="R206" i="1"/>
  <c r="R207" i="1"/>
  <c r="R156" i="1"/>
  <c r="R209" i="1"/>
  <c r="R210" i="1"/>
  <c r="R211" i="1"/>
  <c r="R212" i="1"/>
  <c r="R213" i="1"/>
  <c r="R214" i="1"/>
  <c r="R215" i="1"/>
  <c r="R216" i="1"/>
  <c r="R217" i="1"/>
  <c r="R48" i="1"/>
  <c r="R219" i="1"/>
  <c r="R220" i="1"/>
  <c r="R104" i="1"/>
  <c r="R222" i="1"/>
  <c r="R223" i="1"/>
  <c r="R224" i="1"/>
  <c r="R225" i="1"/>
  <c r="R226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174" i="1"/>
  <c r="Q36" i="1"/>
  <c r="Q37" i="1"/>
  <c r="Q38" i="1"/>
  <c r="Q175" i="1"/>
  <c r="Q40" i="1"/>
  <c r="Q41" i="1"/>
  <c r="Q42" i="1"/>
  <c r="Q177" i="1"/>
  <c r="Q44" i="1"/>
  <c r="Q45" i="1"/>
  <c r="Q46" i="1"/>
  <c r="Q47" i="1"/>
  <c r="Q197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39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68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63" i="1"/>
  <c r="Q102" i="1"/>
  <c r="Q103" i="1"/>
  <c r="Q221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84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208" i="1"/>
  <c r="Q157" i="1"/>
  <c r="Q218" i="1"/>
  <c r="Q159" i="1"/>
  <c r="Q160" i="1"/>
  <c r="Q161" i="1"/>
  <c r="Q162" i="1"/>
  <c r="Q129" i="1"/>
  <c r="Q164" i="1"/>
  <c r="Q158" i="1"/>
  <c r="Q166" i="1"/>
  <c r="Q167" i="1"/>
  <c r="Q168" i="1"/>
  <c r="Q169" i="1"/>
  <c r="Q43" i="1"/>
  <c r="Q171" i="1"/>
  <c r="Q172" i="1"/>
  <c r="Q173" i="1"/>
  <c r="Q165" i="1"/>
  <c r="Q170" i="1"/>
  <c r="Q176" i="1"/>
  <c r="Q101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35" i="1"/>
  <c r="Q198" i="1"/>
  <c r="Q199" i="1"/>
  <c r="Q200" i="1"/>
  <c r="Q201" i="1"/>
  <c r="Q202" i="1"/>
  <c r="Q203" i="1"/>
  <c r="Q204" i="1"/>
  <c r="Q205" i="1"/>
  <c r="Q206" i="1"/>
  <c r="Q207" i="1"/>
  <c r="Q156" i="1"/>
  <c r="Q209" i="1"/>
  <c r="Q210" i="1"/>
  <c r="Q211" i="1"/>
  <c r="Q212" i="1"/>
  <c r="Q213" i="1"/>
  <c r="Q214" i="1"/>
  <c r="Q215" i="1"/>
  <c r="Q216" i="1"/>
  <c r="Q217" i="1"/>
  <c r="Q48" i="1"/>
  <c r="Q219" i="1"/>
  <c r="Q220" i="1"/>
  <c r="Q104" i="1"/>
  <c r="Q222" i="1"/>
  <c r="Q223" i="1"/>
  <c r="Q224" i="1"/>
  <c r="Q225" i="1"/>
  <c r="Q226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174" i="1"/>
  <c r="P36" i="1"/>
  <c r="P37" i="1"/>
  <c r="P38" i="1"/>
  <c r="P175" i="1"/>
  <c r="P40" i="1"/>
  <c r="P41" i="1"/>
  <c r="P42" i="1"/>
  <c r="P177" i="1"/>
  <c r="P44" i="1"/>
  <c r="P45" i="1"/>
  <c r="P46" i="1"/>
  <c r="P47" i="1"/>
  <c r="P197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39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68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63" i="1"/>
  <c r="P102" i="1"/>
  <c r="P103" i="1"/>
  <c r="P221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84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208" i="1"/>
  <c r="P157" i="1"/>
  <c r="P218" i="1"/>
  <c r="P159" i="1"/>
  <c r="P160" i="1"/>
  <c r="P161" i="1"/>
  <c r="P162" i="1"/>
  <c r="P129" i="1"/>
  <c r="P164" i="1"/>
  <c r="P158" i="1"/>
  <c r="P166" i="1"/>
  <c r="P167" i="1"/>
  <c r="P168" i="1"/>
  <c r="P169" i="1"/>
  <c r="P43" i="1"/>
  <c r="P171" i="1"/>
  <c r="P172" i="1"/>
  <c r="P173" i="1"/>
  <c r="P165" i="1"/>
  <c r="P170" i="1"/>
  <c r="P176" i="1"/>
  <c r="P101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35" i="1"/>
  <c r="P198" i="1"/>
  <c r="P199" i="1"/>
  <c r="P200" i="1"/>
  <c r="P201" i="1"/>
  <c r="P202" i="1"/>
  <c r="P203" i="1"/>
  <c r="P204" i="1"/>
  <c r="P205" i="1"/>
  <c r="P206" i="1"/>
  <c r="P207" i="1"/>
  <c r="P156" i="1"/>
  <c r="P209" i="1"/>
  <c r="P210" i="1"/>
  <c r="P211" i="1"/>
  <c r="P212" i="1"/>
  <c r="P213" i="1"/>
  <c r="P214" i="1"/>
  <c r="P215" i="1"/>
  <c r="P216" i="1"/>
  <c r="P217" i="1"/>
  <c r="P48" i="1"/>
  <c r="P219" i="1"/>
  <c r="P220" i="1"/>
  <c r="P104" i="1"/>
  <c r="P222" i="1"/>
  <c r="P223" i="1"/>
  <c r="P224" i="1"/>
  <c r="P225" i="1"/>
  <c r="P226" i="1"/>
</calcChain>
</file>

<file path=xl/sharedStrings.xml><?xml version="1.0" encoding="utf-8"?>
<sst xmlns="http://schemas.openxmlformats.org/spreadsheetml/2006/main" count="920" uniqueCount="235">
  <si>
    <t>Nº Operación</t>
  </si>
  <si>
    <t>Fecha</t>
  </si>
  <si>
    <t>Registro Camión</t>
  </si>
  <si>
    <t>Ingreso Camión</t>
  </si>
  <si>
    <t>Transporte</t>
  </si>
  <si>
    <t>Destino</t>
  </si>
  <si>
    <t>Conductor</t>
  </si>
  <si>
    <t>Patente</t>
  </si>
  <si>
    <t>Tiempo Atención</t>
  </si>
  <si>
    <t>Tiempo Espera</t>
  </si>
  <si>
    <t>DTE</t>
  </si>
  <si>
    <t>Entrega</t>
  </si>
  <si>
    <t>Qty Entrega</t>
  </si>
  <si>
    <t>Embotellador</t>
  </si>
  <si>
    <t>Comentario Despacho</t>
  </si>
  <si>
    <t>Comentario Romana</t>
  </si>
  <si>
    <t>KOE</t>
  </si>
  <si>
    <t>Salida Camión</t>
  </si>
  <si>
    <t>KOA</t>
  </si>
  <si>
    <t>ANTOFAGASTA</t>
  </si>
  <si>
    <t>SANTIAGO</t>
  </si>
  <si>
    <t>RENCA</t>
  </si>
  <si>
    <t>PUENTE ALTO</t>
  </si>
  <si>
    <t>RANCAGUA</t>
  </si>
  <si>
    <t>TALCA</t>
  </si>
  <si>
    <t>VIÑA DEL MAR</t>
  </si>
  <si>
    <t>Tiempo atención Despacho (mins)</t>
  </si>
  <si>
    <t>Tiempo atención Expedición (mins)</t>
  </si>
  <si>
    <t>COQUIMBO</t>
  </si>
  <si>
    <t>IQUIQUE</t>
  </si>
  <si>
    <t>Supervisor Despacho</t>
  </si>
  <si>
    <t>JLJB-23</t>
  </si>
  <si>
    <t>PUERTO MONTT</t>
  </si>
  <si>
    <t>SAN ANTONIO</t>
  </si>
  <si>
    <t>CESAR BOHORQUEZ</t>
  </si>
  <si>
    <t>STIVENG ESTRADA</t>
  </si>
  <si>
    <t>TEMUCO</t>
  </si>
  <si>
    <t>RODRIGO ZUÑIGA</t>
  </si>
  <si>
    <t>SAN FERNANDO</t>
  </si>
  <si>
    <t>LOS ANGELES</t>
  </si>
  <si>
    <t>SOCRATES SEPULVEDA</t>
  </si>
  <si>
    <t>KEVIN YAÑEZ</t>
  </si>
  <si>
    <t>JOSE VALDERRAMA</t>
  </si>
  <si>
    <t>JAIME MEZA MEZA</t>
  </si>
  <si>
    <t>Lo Echevers</t>
  </si>
  <si>
    <t>JUAN ASTUDILLO</t>
  </si>
  <si>
    <t>PATRICIO EUGENIO VENEGAS</t>
  </si>
  <si>
    <t>TBGF22</t>
  </si>
  <si>
    <t>ARICA</t>
  </si>
  <si>
    <t>GHZJ-44</t>
  </si>
  <si>
    <t>COPIAPO</t>
  </si>
  <si>
    <t>CALAMA</t>
  </si>
  <si>
    <t>GKXG-24</t>
  </si>
  <si>
    <t>ROBERTO DIAZ FARIAS</t>
  </si>
  <si>
    <t>MAIPU</t>
  </si>
  <si>
    <t>ARMANDO GUTIERREZ</t>
  </si>
  <si>
    <t>CRISTIAN YAÑEZ LEIVA</t>
  </si>
  <si>
    <t>RFZY-98</t>
  </si>
  <si>
    <t>NERY JAUREGUY</t>
  </si>
  <si>
    <t>SVLV-53</t>
  </si>
  <si>
    <t>PJKT-54</t>
  </si>
  <si>
    <t>ALEX CASTILLO</t>
  </si>
  <si>
    <t>SEBASTIAN DIAZ</t>
  </si>
  <si>
    <t>JGVY-71</t>
  </si>
  <si>
    <t>WILLIAMS SANCHEZ</t>
  </si>
  <si>
    <t>RFZY-96</t>
  </si>
  <si>
    <t>PJKT-52</t>
  </si>
  <si>
    <t>CLAUDIO ASTUDILLO</t>
  </si>
  <si>
    <t>JOSE MIGUEL MENDEZ</t>
  </si>
  <si>
    <t>VALERIA CARRION CERDA</t>
  </si>
  <si>
    <t>RHDX-18</t>
  </si>
  <si>
    <t>PJKT-51</t>
  </si>
  <si>
    <t>JGVY-72</t>
  </si>
  <si>
    <t>TYKZ-77</t>
  </si>
  <si>
    <t>CARLOS NUÑEZ NUÑEZ</t>
  </si>
  <si>
    <t>PJKT-50</t>
  </si>
  <si>
    <t>GKXG24</t>
  </si>
  <si>
    <t>DEYBY PARADA FAUNDEZ</t>
  </si>
  <si>
    <t>WILLIAM RUBIO</t>
  </si>
  <si>
    <t>SPVR-14</t>
  </si>
  <si>
    <t>MATIAS LARA</t>
  </si>
  <si>
    <t>CARLOS CAMPOS</t>
  </si>
  <si>
    <t>DZBZ90</t>
  </si>
  <si>
    <t>DZBZ-90</t>
  </si>
  <si>
    <t>MELCIADES URDANETA</t>
  </si>
  <si>
    <t>MARIO ZUÑIGA</t>
  </si>
  <si>
    <t>CHILLAN</t>
  </si>
  <si>
    <t>MEC</t>
  </si>
  <si>
    <t>JORGE OLAVE</t>
  </si>
  <si>
    <t>CARLOS PACHECO ZUÑIGA</t>
  </si>
  <si>
    <t>RFZY-94</t>
  </si>
  <si>
    <t>Exportación</t>
  </si>
  <si>
    <t>MARCO CRESPO LEIVA</t>
  </si>
  <si>
    <t>HKSP-55</t>
  </si>
  <si>
    <t>JORGE ANDRES VERA</t>
  </si>
  <si>
    <t>RFZY-97</t>
  </si>
  <si>
    <t>MANUEL NAVAS</t>
  </si>
  <si>
    <t>JLJB-25</t>
  </si>
  <si>
    <t>DDDG37</t>
  </si>
  <si>
    <t>DDDG-37</t>
  </si>
  <si>
    <t>KGYL-41</t>
  </si>
  <si>
    <t>SERGIO BERRIOS</t>
  </si>
  <si>
    <t>KCFD-68</t>
  </si>
  <si>
    <t>KRFW-46</t>
  </si>
  <si>
    <t>VICTOR GONZALEZ</t>
  </si>
  <si>
    <t>PZDJ-89</t>
  </si>
  <si>
    <t>RICARDO RIVEROS MENESES</t>
  </si>
  <si>
    <t>JLJW-19</t>
  </si>
  <si>
    <t>PATRICIO FLORES</t>
  </si>
  <si>
    <t>HKFT-75</t>
  </si>
  <si>
    <t>PJKT50</t>
  </si>
  <si>
    <t>WILSON GRANDON GARCIA</t>
  </si>
  <si>
    <t>SVLV-56</t>
  </si>
  <si>
    <t>CAMILO CERDA SOTO</t>
  </si>
  <si>
    <t>SVLV-52</t>
  </si>
  <si>
    <t>PABLO PARRGUEZ MARTINEZ</t>
  </si>
  <si>
    <t>THSY-62</t>
  </si>
  <si>
    <t>PATRICIO ROJAS PEREZ</t>
  </si>
  <si>
    <t>PDSF-99</t>
  </si>
  <si>
    <t>ALONSO NICOLAS HURTADO</t>
  </si>
  <si>
    <t>SVLV-55</t>
  </si>
  <si>
    <t>GFKJ26</t>
  </si>
  <si>
    <t>TYKZ77</t>
  </si>
  <si>
    <t>JOSE LOPEZ</t>
  </si>
  <si>
    <t>PCLZ-43</t>
  </si>
  <si>
    <t>PJKT-44</t>
  </si>
  <si>
    <t>KDVJ-36</t>
  </si>
  <si>
    <t>SERGIO MOLINA ALFARO</t>
  </si>
  <si>
    <t>FERNANDO SABANDO MANRIQUEZ</t>
  </si>
  <si>
    <t>FFZS-31</t>
  </si>
  <si>
    <t>DAVID ESTEBAN FUENTES</t>
  </si>
  <si>
    <t>WBGP-73</t>
  </si>
  <si>
    <t>Cristian Gallardo</t>
  </si>
  <si>
    <t>LPFS-12</t>
  </si>
  <si>
    <t>Victor Gallardo</t>
  </si>
  <si>
    <t>MARCELO BARRABAS OVIEDO</t>
  </si>
  <si>
    <t>MIGUEL WENTEN ESCOBAR</t>
  </si>
  <si>
    <t>SHHR-43</t>
  </si>
  <si>
    <t>PGCK-77</t>
  </si>
  <si>
    <t>JAIME VERA</t>
  </si>
  <si>
    <t>DVGV-42</t>
  </si>
  <si>
    <t>JUAN SOTO DONOSO</t>
  </si>
  <si>
    <t>PYCK-35</t>
  </si>
  <si>
    <t>PATRICIO PEÑA TORRES</t>
  </si>
  <si>
    <t>TBGH-39</t>
  </si>
  <si>
    <t>FABIAN SEPULVEDA CONTRERAS</t>
  </si>
  <si>
    <t>Andrés Demecio Romero Opazo</t>
  </si>
  <si>
    <t>CARLOS CHAPARRO MOLINA</t>
  </si>
  <si>
    <t>SWHR-69</t>
  </si>
  <si>
    <t>LUIS IBACACHE OLIVARES</t>
  </si>
  <si>
    <t>DYGH-90</t>
  </si>
  <si>
    <t>Alejandro Urrea Plaza</t>
  </si>
  <si>
    <t>TBGF-20</t>
  </si>
  <si>
    <t>COSME NAHUELQUIN</t>
  </si>
  <si>
    <t>TSGV-92</t>
  </si>
  <si>
    <t>MANUEL ENRIQUE CAMPOS</t>
  </si>
  <si>
    <t>SLKB-58</t>
  </si>
  <si>
    <t>ULISES CAMPOS PLASENCIA</t>
  </si>
  <si>
    <t>VSKC-46</t>
  </si>
  <si>
    <t>RJHY-54</t>
  </si>
  <si>
    <t>GHZJ44</t>
  </si>
  <si>
    <t>MARIO JIMENEZ</t>
  </si>
  <si>
    <t>LBTJ-22</t>
  </si>
  <si>
    <t>pedro hueichaqueo</t>
  </si>
  <si>
    <t>RKRB-20</t>
  </si>
  <si>
    <t>JUAN ORTIZ GONZALEZ</t>
  </si>
  <si>
    <t>KKPH-88</t>
  </si>
  <si>
    <t>valentin hernandez</t>
  </si>
  <si>
    <t>LGGB-57</t>
  </si>
  <si>
    <t>PCLZ-36</t>
  </si>
  <si>
    <t>RHDX-20</t>
  </si>
  <si>
    <t>RFZY-93</t>
  </si>
  <si>
    <t>MIGUEL GALVARINO MORENO</t>
  </si>
  <si>
    <t>DRCW-60</t>
  </si>
  <si>
    <t>SEBASTIAN ASSIS VENEGAS</t>
  </si>
  <si>
    <t>DZBZ92</t>
  </si>
  <si>
    <t>JTGV-83</t>
  </si>
  <si>
    <t>ALEJANDRO PAOLO CIFUENTES</t>
  </si>
  <si>
    <t>LUIS VILLEGAS</t>
  </si>
  <si>
    <t>LGGB-58</t>
  </si>
  <si>
    <t>ERIC ITURRA</t>
  </si>
  <si>
    <t>SDCT-42</t>
  </si>
  <si>
    <t>DANIEL ANTILLANCA RAMIREZ</t>
  </si>
  <si>
    <t>SHXB-80</t>
  </si>
  <si>
    <t>RFZY97</t>
  </si>
  <si>
    <t>FRANCISCO VALENZUELA SAN JUAN</t>
  </si>
  <si>
    <t>VSRS-57</t>
  </si>
  <si>
    <t>RHDX18</t>
  </si>
  <si>
    <t>SEBASTIAN IBEAS</t>
  </si>
  <si>
    <t>DCKH-77</t>
  </si>
  <si>
    <t>CRISTOBAL MUÑOZ ÁVILA</t>
  </si>
  <si>
    <t>VRFD-15</t>
  </si>
  <si>
    <t>JORGE SALGADO</t>
  </si>
  <si>
    <t>VSKC-96</t>
  </si>
  <si>
    <t>TALCAHUANO</t>
  </si>
  <si>
    <t>BRAYAN AGUILERA</t>
  </si>
  <si>
    <t>RHKC-52</t>
  </si>
  <si>
    <t>LUIS URBINA VASQUEZ</t>
  </si>
  <si>
    <t>TCRK-19</t>
  </si>
  <si>
    <t>SEBASTIAN LANTADILLA GARRIDO</t>
  </si>
  <si>
    <t>PYCG-40</t>
  </si>
  <si>
    <t>OSVALDO PALACIOS ABARCA</t>
  </si>
  <si>
    <t>RKRB-21</t>
  </si>
  <si>
    <t>LUIS MENDOZA</t>
  </si>
  <si>
    <t>TJYV-60</t>
  </si>
  <si>
    <t>JOSE MONTECINOS VASQUEZ</t>
  </si>
  <si>
    <t>LGGB-64</t>
  </si>
  <si>
    <t>LUIS SEPULVEDA</t>
  </si>
  <si>
    <t>CARLOS REYES</t>
  </si>
  <si>
    <t>RKPK-59</t>
  </si>
  <si>
    <t>LUIS YAÑEZ</t>
  </si>
  <si>
    <t>DBSZ-22</t>
  </si>
  <si>
    <t>JUAN MUÑOZ</t>
  </si>
  <si>
    <t>WR-7755</t>
  </si>
  <si>
    <t>JUAN PEREZ CAAMAÑO</t>
  </si>
  <si>
    <t>DBFX-85</t>
  </si>
  <si>
    <t>EDUARDO GONZALEZ ABARCA</t>
  </si>
  <si>
    <t>TPBC-57</t>
  </si>
  <si>
    <t>SVLV53</t>
  </si>
  <si>
    <t>SERGIO EMILIO ZASSO VARELA</t>
  </si>
  <si>
    <t>VRBL74</t>
  </si>
  <si>
    <t>FABIAN ANDRES LARA AGUIRRE</t>
  </si>
  <si>
    <t>GFKJ25</t>
  </si>
  <si>
    <t>CARLOS RODOLFO SAPIAIN BELMAR</t>
  </si>
  <si>
    <t>CFSF70</t>
  </si>
  <si>
    <t>JUAN CARLOS ALLENDE DEVIA</t>
  </si>
  <si>
    <t>SVLV52</t>
  </si>
  <si>
    <t>JVZR-87</t>
  </si>
  <si>
    <t>ARIEL ANTONIO ABELLO</t>
  </si>
  <si>
    <t>HKFT-76</t>
  </si>
  <si>
    <t>SIMON SAEZ LEIVA</t>
  </si>
  <si>
    <t>MIGUEL RIQUELME SAGARDIA</t>
  </si>
  <si>
    <t>CARLOS SAPIAIN</t>
  </si>
  <si>
    <t>OSVALDO MATAMALA</t>
  </si>
  <si>
    <t>TBGF-22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</si>
</sst>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5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Helvetica"/>
      <family val="2"/>
    </font>
    <font>
      <sz val="8"/>
      <name val="Calibri"/>
      <family val="2"/>
      <scheme val="minor"/>
    </font>
    <font>
      <sz val="12"/>
      <color rgb="FF000000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rgb="FFFF2600"/>
        <bgColor indexed="64"/>
      </patternFill>
    </fill>
    <fill>
      <patternFill patternType="solid">
        <fgColor rgb="FFD9E1F2"/>
        <bgColor rgb="FFD9E1F2"/>
      </patternFill>
    </fill>
  </fills>
  <borders count="5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8EA9DB"/>
      </top>
      <bottom style="thin">
        <color rgb="FF8EA9D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1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/>
    <xf numFmtId="21" fontId="2" fillId="0" borderId="0" xfId="0" applyNumberFormat="1" applyFont="1"/>
    <xf numFmtId="0" fontId="1" fillId="2" borderId="2" xfId="0" applyFont="1" applyFill="1" applyBorder="1"/>
    <xf numFmtId="0" fontId="1" fillId="2" borderId="3" xfId="0" applyFont="1" applyFill="1" applyBorder="1"/>
    <xf numFmtId="164" fontId="1" fillId="2" borderId="3" xfId="0" applyNumberFormat="1" applyFont="1" applyFill="1" applyBorder="1"/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4" fillId="3" borderId="4" xfId="0" applyFont="1" applyFill="1" applyBorder="1"/>
  </cellXfs>
  <cellStyles count="1">
    <cellStyle name="Normal" xfId="0" builtinId="0"/>
  </cellStyles>
  <dxfs count="9">
    <dxf>
      <font>
        <name val="Helvetic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name val="Helvetic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alignment horizontal="center" vertical="center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rgb="FFFF2600"/>
        </patternFill>
      </fill>
      <border diagonalUp="0" diagonalDown="0">
        <left/>
        <right/>
        <top/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B4D5A9-85E8-224A-ABD7-ADB55BC98781}" name="Tabla3" displayName="Tabla3" ref="A1:T226" totalsRowShown="0" headerRowDxfId="8" dataDxfId="6" headerRowBorderDxfId="7" tableBorderDxfId="5">
  <autoFilter ref="A1:T226" xr:uid="{4EB4D5A9-85E8-224A-ABD7-ADB55BC98781}"/>
  <tableColumns count="20">
    <tableColumn id="1" xr3:uid="{1F0B7E48-3D94-9E48-8ACE-382CC0D1BB68}" name="Nº Operación"/>
    <tableColumn id="2" xr3:uid="{598C855D-7599-3841-B923-15A0B483C8B3}" name="Fecha"/>
    <tableColumn id="21" xr3:uid="{89555A29-A0BA-314C-9E38-D58B6A620A80}" name="Embotellador"/>
    <tableColumn id="15" xr3:uid="{410C960D-1BA5-4841-9E83-25FB9D480824}" name="Registro Camión"/>
    <tableColumn id="16" xr3:uid="{14F1652E-8CCF-A842-9244-542562A9639A}" name="Ingreso Camión"/>
    <tableColumn id="3" xr3:uid="{B64F8065-4F02-044C-ADC4-33AB22D24FA4}" name="Salida Camión"/>
    <tableColumn id="4" xr3:uid="{A2362A53-81CD-F048-BA98-53176CA11D6C}" name="Transporte"/>
    <tableColumn id="5" xr3:uid="{326E06C4-3EF4-A24E-BF7D-5573EF46A998}" name="Destino"/>
    <tableColumn id="6" xr3:uid="{72CC989D-9475-5E4E-B8FD-4E339361EE10}" name="Conductor"/>
    <tableColumn id="7" xr3:uid="{A43F477E-E5E8-2C46-91BE-763FFFD3ACD6}" name="Tiempo Espera"/>
    <tableColumn id="8" xr3:uid="{9C62CA37-1E37-7447-8F30-23D809F81856}" name="Tiempo Atención"/>
    <tableColumn id="9" xr3:uid="{682BCA3F-9D5F-CE48-9A72-12B3D3F95163}" name="Patente"/>
    <tableColumn id="12" xr3:uid="{F7DD7FC6-533C-6446-82BA-1BD09906476C}" name="DTE"/>
    <tableColumn id="10" xr3:uid="{A16972AF-AEE9-BF46-8A14-3D047B9F1F18}" name="Entrega"/>
    <tableColumn id="13" xr3:uid="{0A210B13-6D66-F141-BB08-D066EA1ACEF8}" name="Qty Entrega"/>
    <tableColumn id="11" xr3:uid="{B059AADE-B32A-3643-B307-32F73D312A41}" name="Supervisor Despacho" dataDxfId="4">
      <calculatedColumnFormula>VLOOKUP(Tabla3[[#This Row],[Entrega]],#REF!,4)</calculatedColumnFormula>
    </tableColumn>
    <tableColumn id="19" xr3:uid="{520C7406-2FBF-344D-B6E8-8DED0C551A54}" name="Tiempo atención Despacho (mins)" dataDxfId="3">
      <calculatedColumnFormula>VLOOKUP(Tabla3[[#This Row],[Entrega]],#REF!,5)</calculatedColumnFormula>
    </tableColumn>
    <tableColumn id="18" xr3:uid="{9E2FE814-36D5-DF46-A381-CBD8475D7F80}" name="Tiempo atención Expedición (mins)" dataDxfId="2">
      <calculatedColumnFormula>VLOOKUP(Tabla3[[#This Row],[Entrega]],#REF!,7)</calculatedColumnFormula>
    </tableColumn>
    <tableColumn id="17" xr3:uid="{EB971EAB-E799-2049-B0D8-067E6B35A91E}" name="Comentario Despacho" dataDxfId="1">
      <calculatedColumnFormula>VLOOKUP(Tabla3[[#This Row],[Entrega]],#REF!,19)</calculatedColumnFormula>
    </tableColumn>
    <tableColumn id="14" xr3:uid="{351C1D54-C138-CA4C-813B-C9EEA90C6D9B}" name="Comentario Romana" dataDxfId="0">
      <calculatedColumnFormula>VLOOKUP(Tabla3[[#This Row],[Entrega]],#REF!,20)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28B7-A887-AC45-8CDC-2244E0F9F48B}">
  <dimension ref="A1:T226"/>
  <sheetViews>
    <sheetView showGridLines="0" tabSelected="1" zoomScale="141" zoomScaleNormal="133" workbookViewId="0">
      <selection activeCell="G11" sqref="G11"/>
    </sheetView>
  </sheetViews>
  <sheetFormatPr baseColWidth="10" defaultColWidth="13.83203125" defaultRowHeight="16" x14ac:dyDescent="0.2"/>
  <cols>
    <col min="1" max="1" width="14.83203125" bestFit="1" customWidth="1"/>
    <col min="2" max="2" width="9.5" bestFit="1" customWidth="1"/>
    <col min="3" max="3" width="14.6640625" bestFit="1" customWidth="1"/>
    <col min="4" max="4" width="17.33203125" bestFit="1" customWidth="1"/>
    <col min="5" max="5" width="16.5" bestFit="1" customWidth="1"/>
    <col min="6" max="6" width="15.33203125" bestFit="1" customWidth="1"/>
    <col min="7" max="7" width="12.5" bestFit="1" customWidth="1"/>
    <col min="8" max="8" width="17.33203125" bestFit="1" customWidth="1"/>
    <col min="9" max="9" width="38" bestFit="1" customWidth="1"/>
    <col min="10" max="10" width="15.83203125" bestFit="1" customWidth="1"/>
    <col min="11" max="11" width="17.83203125" bestFit="1" customWidth="1"/>
    <col min="12" max="12" width="10.5" bestFit="1" customWidth="1"/>
    <col min="13" max="13" width="8.1640625" bestFit="1" customWidth="1"/>
    <col min="14" max="14" width="11.6640625" bestFit="1" customWidth="1"/>
    <col min="15" max="15" width="13.5" bestFit="1" customWidth="1"/>
    <col min="16" max="16" width="21" bestFit="1" customWidth="1"/>
    <col min="17" max="17" width="32.33203125" bestFit="1" customWidth="1"/>
    <col min="18" max="18" width="33.33203125" bestFit="1" customWidth="1"/>
    <col min="19" max="19" width="24.33203125" bestFit="1" customWidth="1"/>
    <col min="20" max="20" width="67" bestFit="1" customWidth="1"/>
  </cols>
  <sheetData>
    <row r="1" spans="1:20" ht="38" customHeight="1" thickBot="1" x14ac:dyDescent="0.25">
      <c r="A1" s="7" t="s">
        <v>0</v>
      </c>
      <c r="B1" s="7" t="s">
        <v>1</v>
      </c>
      <c r="C1" s="7" t="s">
        <v>13</v>
      </c>
      <c r="D1" s="7" t="s">
        <v>2</v>
      </c>
      <c r="E1" s="7" t="s">
        <v>3</v>
      </c>
      <c r="F1" s="7" t="s">
        <v>17</v>
      </c>
      <c r="G1" s="7" t="s">
        <v>4</v>
      </c>
      <c r="H1" s="7" t="s">
        <v>5</v>
      </c>
      <c r="I1" s="7" t="s">
        <v>6</v>
      </c>
      <c r="J1" s="8" t="s">
        <v>9</v>
      </c>
      <c r="K1" s="7" t="s">
        <v>8</v>
      </c>
      <c r="L1" s="7" t="s">
        <v>7</v>
      </c>
      <c r="M1" s="7" t="s">
        <v>10</v>
      </c>
      <c r="N1" s="7" t="s">
        <v>11</v>
      </c>
      <c r="O1" s="7" t="s">
        <v>12</v>
      </c>
      <c r="P1" s="6" t="s">
        <v>30</v>
      </c>
      <c r="Q1" s="6" t="s">
        <v>26</v>
      </c>
      <c r="R1" s="6" t="s">
        <v>27</v>
      </c>
      <c r="S1" s="9" t="s">
        <v>14</v>
      </c>
      <c r="T1" s="10" t="s">
        <v>15</v>
      </c>
    </row>
    <row r="2" spans="1:20" x14ac:dyDescent="0.2">
      <c r="A2" s="1">
        <v>195394</v>
      </c>
      <c r="B2" s="4">
        <v>44836</v>
      </c>
      <c r="C2" s="1" t="s">
        <v>16</v>
      </c>
      <c r="D2" s="5">
        <v>0.54843750000000002</v>
      </c>
      <c r="E2" s="5">
        <v>0.63848379629629626</v>
      </c>
      <c r="F2" s="5">
        <v>0.68778935185185175</v>
      </c>
      <c r="G2" s="1">
        <v>800000267</v>
      </c>
      <c r="H2" s="1" t="s">
        <v>32</v>
      </c>
      <c r="I2" s="1" t="s">
        <v>136</v>
      </c>
      <c r="J2" s="5">
        <v>9.0046296296296291E-2</v>
      </c>
      <c r="K2" s="5">
        <v>4.9305555555555554E-2</v>
      </c>
      <c r="L2" s="1" t="s">
        <v>137</v>
      </c>
      <c r="M2" s="1">
        <v>127523</v>
      </c>
      <c r="N2" s="1">
        <v>200249440</v>
      </c>
      <c r="O2" s="1">
        <v>1</v>
      </c>
      <c r="P2" s="3" t="e">
        <f>VLOOKUP(Tabla3[[#This Row],[Entrega]],#REF!,4)</f>
        <v>#REF!</v>
      </c>
      <c r="Q2" s="2" t="e">
        <f>VLOOKUP(Tabla3[[#This Row],[Entrega]],#REF!,5)</f>
        <v>#REF!</v>
      </c>
      <c r="R2" s="2" t="e">
        <f>VLOOKUP(Tabla3[[#This Row],[Entrega]],#REF!,7)</f>
        <v>#REF!</v>
      </c>
      <c r="S2" s="2" t="e">
        <f>VLOOKUP(Tabla3[[#This Row],[Entrega]],#REF!,19)</f>
        <v>#REF!</v>
      </c>
      <c r="T2" s="3" t="e">
        <f>VLOOKUP(Tabla3[[#This Row],[Entrega]],#REF!,20)</f>
        <v>#REF!</v>
      </c>
    </row>
    <row r="3" spans="1:20" x14ac:dyDescent="0.2">
      <c r="A3" s="1">
        <v>195362</v>
      </c>
      <c r="B3" s="4">
        <v>44836</v>
      </c>
      <c r="C3" s="1" t="s">
        <v>16</v>
      </c>
      <c r="D3" s="5">
        <v>0.49517361111111113</v>
      </c>
      <c r="E3" s="5">
        <v>0.59641203703703705</v>
      </c>
      <c r="F3" s="5">
        <v>0.64461805555555551</v>
      </c>
      <c r="G3" s="1">
        <v>800000014</v>
      </c>
      <c r="H3" s="1" t="s">
        <v>29</v>
      </c>
      <c r="I3" s="1" t="s">
        <v>127</v>
      </c>
      <c r="J3" s="5">
        <v>0.10123842592592593</v>
      </c>
      <c r="K3" s="5">
        <v>4.8206018518518523E-2</v>
      </c>
      <c r="L3" s="1" t="s">
        <v>138</v>
      </c>
      <c r="M3" s="1">
        <v>127522</v>
      </c>
      <c r="N3" s="1">
        <v>200249441</v>
      </c>
      <c r="O3" s="1">
        <v>1</v>
      </c>
      <c r="P3" s="3" t="e">
        <f>VLOOKUP(Tabla3[[#This Row],[Entrega]],#REF!,4)</f>
        <v>#REF!</v>
      </c>
      <c r="Q3" s="2" t="e">
        <f>VLOOKUP(Tabla3[[#This Row],[Entrega]],#REF!,5)</f>
        <v>#REF!</v>
      </c>
      <c r="R3" s="2" t="e">
        <f>VLOOKUP(Tabla3[[#This Row],[Entrega]],#REF!,7)</f>
        <v>#REF!</v>
      </c>
      <c r="S3" s="2" t="e">
        <f>VLOOKUP(Tabla3[[#This Row],[Entrega]],#REF!,19)</f>
        <v>#REF!</v>
      </c>
      <c r="T3" s="3" t="e">
        <f>VLOOKUP(Tabla3[[#This Row],[Entrega]],#REF!,20)</f>
        <v>#REF!</v>
      </c>
    </row>
    <row r="4" spans="1:20" x14ac:dyDescent="0.2">
      <c r="A4" s="1">
        <v>195361</v>
      </c>
      <c r="B4" s="4">
        <v>44836</v>
      </c>
      <c r="C4" s="1" t="s">
        <v>16</v>
      </c>
      <c r="D4" s="5">
        <v>0.39291666666666664</v>
      </c>
      <c r="E4" s="5">
        <v>0.49341435185185184</v>
      </c>
      <c r="F4" s="5">
        <v>0.62372685185185184</v>
      </c>
      <c r="G4" s="1">
        <v>800000013</v>
      </c>
      <c r="H4" s="1" t="s">
        <v>48</v>
      </c>
      <c r="I4" s="1" t="s">
        <v>139</v>
      </c>
      <c r="J4" s="5">
        <v>0.10049768518518519</v>
      </c>
      <c r="K4" s="5">
        <v>0.1303125</v>
      </c>
      <c r="L4" s="1" t="s">
        <v>140</v>
      </c>
      <c r="M4" s="1">
        <v>127521</v>
      </c>
      <c r="N4" s="1">
        <v>200249438</v>
      </c>
      <c r="O4" s="1">
        <v>1</v>
      </c>
      <c r="P4" s="3" t="e">
        <f>VLOOKUP(Tabla3[[#This Row],[Entrega]],#REF!,4)</f>
        <v>#REF!</v>
      </c>
      <c r="Q4" s="2" t="e">
        <f>VLOOKUP(Tabla3[[#This Row],[Entrega]],#REF!,5)</f>
        <v>#REF!</v>
      </c>
      <c r="R4" s="2" t="e">
        <f>VLOOKUP(Tabla3[[#This Row],[Entrega]],#REF!,7)</f>
        <v>#REF!</v>
      </c>
      <c r="S4" s="2" t="e">
        <f>VLOOKUP(Tabla3[[#This Row],[Entrega]],#REF!,19)</f>
        <v>#REF!</v>
      </c>
      <c r="T4" s="3" t="e">
        <f>VLOOKUP(Tabla3[[#This Row],[Entrega]],#REF!,20)</f>
        <v>#REF!</v>
      </c>
    </row>
    <row r="5" spans="1:20" x14ac:dyDescent="0.2">
      <c r="A5" s="1">
        <v>195328</v>
      </c>
      <c r="B5" s="4">
        <v>44836</v>
      </c>
      <c r="C5" s="1" t="s">
        <v>18</v>
      </c>
      <c r="D5" s="5">
        <v>0.36201388888888886</v>
      </c>
      <c r="E5" s="5">
        <v>0.47819444444444442</v>
      </c>
      <c r="F5" s="5">
        <v>0.54151620370370368</v>
      </c>
      <c r="G5" s="1">
        <v>800000418</v>
      </c>
      <c r="H5" s="1" t="s">
        <v>19</v>
      </c>
      <c r="I5" s="1" t="s">
        <v>141</v>
      </c>
      <c r="J5" s="5">
        <v>0.11618055555555555</v>
      </c>
      <c r="K5" s="5">
        <v>6.3321759259259258E-2</v>
      </c>
      <c r="L5" s="1" t="s">
        <v>142</v>
      </c>
      <c r="M5" s="1">
        <v>127520</v>
      </c>
      <c r="N5" s="1">
        <v>200249436</v>
      </c>
      <c r="O5" s="1">
        <v>1</v>
      </c>
      <c r="P5" s="3" t="e">
        <f>VLOOKUP(Tabla3[[#This Row],[Entrega]],#REF!,4)</f>
        <v>#REF!</v>
      </c>
      <c r="Q5" s="2" t="e">
        <f>VLOOKUP(Tabla3[[#This Row],[Entrega]],#REF!,5)</f>
        <v>#REF!</v>
      </c>
      <c r="R5" s="2" t="e">
        <f>VLOOKUP(Tabla3[[#This Row],[Entrega]],#REF!,7)</f>
        <v>#REF!</v>
      </c>
      <c r="S5" s="2" t="e">
        <f>VLOOKUP(Tabla3[[#This Row],[Entrega]],#REF!,19)</f>
        <v>#REF!</v>
      </c>
      <c r="T5" s="3" t="e">
        <f>VLOOKUP(Tabla3[[#This Row],[Entrega]],#REF!,20)</f>
        <v>#REF!</v>
      </c>
    </row>
    <row r="6" spans="1:20" x14ac:dyDescent="0.2">
      <c r="A6" s="1">
        <v>195303</v>
      </c>
      <c r="B6" s="4">
        <v>44836</v>
      </c>
      <c r="C6" s="1" t="s">
        <v>18</v>
      </c>
      <c r="D6" s="5">
        <v>0.41620370370370369</v>
      </c>
      <c r="E6" s="5">
        <v>0.45736111111111111</v>
      </c>
      <c r="F6" s="5">
        <v>0.50913194444444443</v>
      </c>
      <c r="G6" s="1">
        <v>800000001</v>
      </c>
      <c r="H6" s="1" t="s">
        <v>21</v>
      </c>
      <c r="I6" s="1" t="s">
        <v>37</v>
      </c>
      <c r="J6" s="5">
        <v>4.1157407407407406E-2</v>
      </c>
      <c r="K6" s="5">
        <v>5.1770833333333328E-2</v>
      </c>
      <c r="L6" s="1" t="s">
        <v>73</v>
      </c>
      <c r="M6" s="1">
        <v>127519</v>
      </c>
      <c r="N6" s="1">
        <v>200249435</v>
      </c>
      <c r="O6" s="1">
        <v>1</v>
      </c>
      <c r="P6" s="3" t="e">
        <f>VLOOKUP(Tabla3[[#This Row],[Entrega]],#REF!,4)</f>
        <v>#REF!</v>
      </c>
      <c r="Q6" s="2" t="e">
        <f>VLOOKUP(Tabla3[[#This Row],[Entrega]],#REF!,5)</f>
        <v>#REF!</v>
      </c>
      <c r="R6" s="2" t="e">
        <f>VLOOKUP(Tabla3[[#This Row],[Entrega]],#REF!,7)</f>
        <v>#REF!</v>
      </c>
      <c r="S6" s="2" t="e">
        <f>VLOOKUP(Tabla3[[#This Row],[Entrega]],#REF!,19)</f>
        <v>#REF!</v>
      </c>
      <c r="T6" s="3" t="e">
        <f>VLOOKUP(Tabla3[[#This Row],[Entrega]],#REF!,20)</f>
        <v>#REF!</v>
      </c>
    </row>
    <row r="7" spans="1:20" x14ac:dyDescent="0.2">
      <c r="A7" s="1">
        <v>195302</v>
      </c>
      <c r="B7" s="4">
        <v>44836</v>
      </c>
      <c r="C7" s="1" t="s">
        <v>18</v>
      </c>
      <c r="D7" s="5">
        <v>0.35518518518518521</v>
      </c>
      <c r="E7" s="5">
        <v>0.44681712962962966</v>
      </c>
      <c r="F7" s="5">
        <v>0.50717592592592597</v>
      </c>
      <c r="G7" s="1">
        <v>800000000</v>
      </c>
      <c r="H7" s="1" t="s">
        <v>20</v>
      </c>
      <c r="I7" s="1" t="s">
        <v>130</v>
      </c>
      <c r="J7" s="5">
        <v>9.1631944444444446E-2</v>
      </c>
      <c r="K7" s="5">
        <v>6.0358796296296292E-2</v>
      </c>
      <c r="L7" s="1" t="s">
        <v>93</v>
      </c>
      <c r="M7" s="1">
        <v>127518</v>
      </c>
      <c r="N7" s="1">
        <v>200249434</v>
      </c>
      <c r="O7" s="1">
        <v>1</v>
      </c>
      <c r="P7" s="3" t="e">
        <f>VLOOKUP(Tabla3[[#This Row],[Entrega]],#REF!,4)</f>
        <v>#REF!</v>
      </c>
      <c r="Q7" s="2" t="e">
        <f>VLOOKUP(Tabla3[[#This Row],[Entrega]],#REF!,5)</f>
        <v>#REF!</v>
      </c>
      <c r="R7" s="2" t="e">
        <f>VLOOKUP(Tabla3[[#This Row],[Entrega]],#REF!,7)</f>
        <v>#REF!</v>
      </c>
      <c r="S7" s="2" t="e">
        <f>VLOOKUP(Tabla3[[#This Row],[Entrega]],#REF!,19)</f>
        <v>#REF!</v>
      </c>
      <c r="T7" s="3" t="e">
        <f>VLOOKUP(Tabla3[[#This Row],[Entrega]],#REF!,20)</f>
        <v>#REF!</v>
      </c>
    </row>
    <row r="8" spans="1:20" x14ac:dyDescent="0.2">
      <c r="A8" s="1">
        <v>195301</v>
      </c>
      <c r="B8" s="4">
        <v>44836</v>
      </c>
      <c r="C8" s="1" t="s">
        <v>16</v>
      </c>
      <c r="D8" s="5">
        <v>0.29428240740740741</v>
      </c>
      <c r="E8" s="5">
        <v>0.41084490740740742</v>
      </c>
      <c r="F8" s="5">
        <v>0.47461805555555553</v>
      </c>
      <c r="G8" s="1">
        <v>800000014</v>
      </c>
      <c r="H8" s="1" t="s">
        <v>29</v>
      </c>
      <c r="I8" s="1" t="s">
        <v>143</v>
      </c>
      <c r="J8" s="5">
        <v>0.1165625</v>
      </c>
      <c r="K8" s="5">
        <v>6.3773148148148148E-2</v>
      </c>
      <c r="L8" s="1" t="s">
        <v>144</v>
      </c>
      <c r="M8" s="1">
        <v>127517</v>
      </c>
      <c r="N8" s="1">
        <v>200249430</v>
      </c>
      <c r="O8" s="1">
        <v>1</v>
      </c>
      <c r="P8" s="3" t="e">
        <f>VLOOKUP(Tabla3[[#This Row],[Entrega]],#REF!,4)</f>
        <v>#REF!</v>
      </c>
      <c r="Q8" s="2" t="e">
        <f>VLOOKUP(Tabla3[[#This Row],[Entrega]],#REF!,5)</f>
        <v>#REF!</v>
      </c>
      <c r="R8" s="2" t="e">
        <f>VLOOKUP(Tabla3[[#This Row],[Entrega]],#REF!,7)</f>
        <v>#REF!</v>
      </c>
      <c r="S8" s="2" t="e">
        <f>VLOOKUP(Tabla3[[#This Row],[Entrega]],#REF!,19)</f>
        <v>#REF!</v>
      </c>
      <c r="T8" s="3" t="e">
        <f>VLOOKUP(Tabla3[[#This Row],[Entrega]],#REF!,20)</f>
        <v>#REF!</v>
      </c>
    </row>
    <row r="9" spans="1:20" x14ac:dyDescent="0.2">
      <c r="A9" s="1">
        <v>195300</v>
      </c>
      <c r="B9" s="4">
        <v>44836</v>
      </c>
      <c r="C9" s="1" t="s">
        <v>18</v>
      </c>
      <c r="D9" s="5">
        <v>0.34825231481481483</v>
      </c>
      <c r="E9" s="5">
        <v>0.41373842592592597</v>
      </c>
      <c r="F9" s="5">
        <v>0.45559027777777777</v>
      </c>
      <c r="G9" s="1">
        <v>800000306</v>
      </c>
      <c r="H9" s="1" t="s">
        <v>54</v>
      </c>
      <c r="I9" s="1" t="s">
        <v>145</v>
      </c>
      <c r="J9" s="5">
        <v>6.548611111111112E-2</v>
      </c>
      <c r="K9" s="5">
        <v>4.1851851851851855E-2</v>
      </c>
      <c r="L9" s="1" t="s">
        <v>63</v>
      </c>
      <c r="M9" s="1">
        <v>127516</v>
      </c>
      <c r="N9" s="1">
        <v>200249433</v>
      </c>
      <c r="O9" s="1">
        <v>1</v>
      </c>
      <c r="P9" s="3" t="e">
        <f>VLOOKUP(Tabla3[[#This Row],[Entrega]],#REF!,4)</f>
        <v>#REF!</v>
      </c>
      <c r="Q9" s="2" t="e">
        <f>VLOOKUP(Tabla3[[#This Row],[Entrega]],#REF!,5)</f>
        <v>#REF!</v>
      </c>
      <c r="R9" s="2" t="e">
        <f>VLOOKUP(Tabla3[[#This Row],[Entrega]],#REF!,7)</f>
        <v>#REF!</v>
      </c>
      <c r="S9" s="2" t="e">
        <f>VLOOKUP(Tabla3[[#This Row],[Entrega]],#REF!,19)</f>
        <v>#REF!</v>
      </c>
      <c r="T9" s="3" t="e">
        <f>VLOOKUP(Tabla3[[#This Row],[Entrega]],#REF!,20)</f>
        <v>#REF!</v>
      </c>
    </row>
    <row r="10" spans="1:20" x14ac:dyDescent="0.2">
      <c r="A10" s="1">
        <v>195299</v>
      </c>
      <c r="B10" s="4">
        <v>44836</v>
      </c>
      <c r="C10" s="1" t="s">
        <v>16</v>
      </c>
      <c r="D10" s="5">
        <v>0.1167824074074074</v>
      </c>
      <c r="E10" s="5">
        <v>0.37144675925925924</v>
      </c>
      <c r="F10" s="5">
        <v>0.44134259259259262</v>
      </c>
      <c r="G10" s="1">
        <v>800000266</v>
      </c>
      <c r="H10" s="1" t="s">
        <v>25</v>
      </c>
      <c r="I10" s="1" t="s">
        <v>117</v>
      </c>
      <c r="J10" s="5">
        <v>0.25466435185185182</v>
      </c>
      <c r="K10" s="5">
        <v>6.9895833333333338E-2</v>
      </c>
      <c r="L10" s="1" t="s">
        <v>118</v>
      </c>
      <c r="M10" s="1">
        <v>127515</v>
      </c>
      <c r="N10" s="1">
        <v>200249429</v>
      </c>
      <c r="O10" s="1">
        <v>1</v>
      </c>
      <c r="P10" s="3" t="e">
        <f>VLOOKUP(Tabla3[[#This Row],[Entrega]],#REF!,4)</f>
        <v>#REF!</v>
      </c>
      <c r="Q10" s="2" t="e">
        <f>VLOOKUP(Tabla3[[#This Row],[Entrega]],#REF!,5)</f>
        <v>#REF!</v>
      </c>
      <c r="R10" s="2" t="e">
        <f>VLOOKUP(Tabla3[[#This Row],[Entrega]],#REF!,7)</f>
        <v>#REF!</v>
      </c>
      <c r="S10" s="2" t="e">
        <f>VLOOKUP(Tabla3[[#This Row],[Entrega]],#REF!,19)</f>
        <v>#REF!</v>
      </c>
      <c r="T10" s="3" t="e">
        <f>VLOOKUP(Tabla3[[#This Row],[Entrega]],#REF!,20)</f>
        <v>#REF!</v>
      </c>
    </row>
    <row r="11" spans="1:20" x14ac:dyDescent="0.2">
      <c r="A11" s="1">
        <v>195298</v>
      </c>
      <c r="B11" s="4">
        <v>44836</v>
      </c>
      <c r="C11" s="1" t="s">
        <v>18</v>
      </c>
      <c r="D11" s="5">
        <v>0.34402777777777777</v>
      </c>
      <c r="E11" s="5">
        <v>0.37762731481481482</v>
      </c>
      <c r="F11" s="5">
        <v>0.43953703703703706</v>
      </c>
      <c r="G11" s="1">
        <v>800000000</v>
      </c>
      <c r="H11" s="1" t="s">
        <v>20</v>
      </c>
      <c r="I11" s="1" t="s">
        <v>146</v>
      </c>
      <c r="J11" s="5">
        <v>3.3599537037037039E-2</v>
      </c>
      <c r="K11" s="5">
        <v>6.190972222222222E-2</v>
      </c>
      <c r="L11" s="1" t="s">
        <v>97</v>
      </c>
      <c r="M11" s="1">
        <v>127514</v>
      </c>
      <c r="N11" s="1">
        <v>200249432</v>
      </c>
      <c r="O11" s="1">
        <v>1</v>
      </c>
      <c r="P11" s="3" t="e">
        <f>VLOOKUP(Tabla3[[#This Row],[Entrega]],#REF!,4)</f>
        <v>#REF!</v>
      </c>
      <c r="Q11" s="2" t="e">
        <f>VLOOKUP(Tabla3[[#This Row],[Entrega]],#REF!,5)</f>
        <v>#REF!</v>
      </c>
      <c r="R11" s="2" t="e">
        <f>VLOOKUP(Tabla3[[#This Row],[Entrega]],#REF!,7)</f>
        <v>#REF!</v>
      </c>
      <c r="S11" s="2" t="e">
        <f>VLOOKUP(Tabla3[[#This Row],[Entrega]],#REF!,19)</f>
        <v>#REF!</v>
      </c>
      <c r="T11" s="3" t="e">
        <f>VLOOKUP(Tabla3[[#This Row],[Entrega]],#REF!,20)</f>
        <v>#REF!</v>
      </c>
    </row>
    <row r="12" spans="1:20" x14ac:dyDescent="0.2">
      <c r="A12" s="1">
        <v>195297</v>
      </c>
      <c r="B12" s="4">
        <v>44836</v>
      </c>
      <c r="C12" s="1" t="s">
        <v>18</v>
      </c>
      <c r="D12" s="5">
        <v>0.33517361111111116</v>
      </c>
      <c r="E12" s="5">
        <v>0.34570601851851851</v>
      </c>
      <c r="F12" s="5">
        <v>0.38513888888888892</v>
      </c>
      <c r="G12" s="1">
        <v>800000001</v>
      </c>
      <c r="H12" s="1" t="s">
        <v>21</v>
      </c>
      <c r="I12" s="1" t="s">
        <v>37</v>
      </c>
      <c r="J12" s="5">
        <v>1.0532407407407407E-2</v>
      </c>
      <c r="K12" s="5">
        <v>3.9432870370370368E-2</v>
      </c>
      <c r="L12" s="1" t="s">
        <v>73</v>
      </c>
      <c r="M12" s="1">
        <v>127513</v>
      </c>
      <c r="N12" s="1">
        <v>200249431</v>
      </c>
      <c r="O12" s="1">
        <v>1</v>
      </c>
      <c r="P12" s="3" t="e">
        <f>VLOOKUP(Tabla3[[#This Row],[Entrega]],#REF!,4)</f>
        <v>#REF!</v>
      </c>
      <c r="Q12" s="2" t="e">
        <f>VLOOKUP(Tabla3[[#This Row],[Entrega]],#REF!,5)</f>
        <v>#REF!</v>
      </c>
      <c r="R12" s="2" t="e">
        <f>VLOOKUP(Tabla3[[#This Row],[Entrega]],#REF!,7)</f>
        <v>#REF!</v>
      </c>
      <c r="S12" s="2" t="e">
        <f>VLOOKUP(Tabla3[[#This Row],[Entrega]],#REF!,19)</f>
        <v>#REF!</v>
      </c>
      <c r="T12" s="3" t="e">
        <f>VLOOKUP(Tabla3[[#This Row],[Entrega]],#REF!,20)</f>
        <v>#REF!</v>
      </c>
    </row>
    <row r="13" spans="1:20" x14ac:dyDescent="0.2">
      <c r="A13" s="1">
        <v>195296</v>
      </c>
      <c r="B13" s="4">
        <v>44836</v>
      </c>
      <c r="C13" s="1" t="s">
        <v>16</v>
      </c>
      <c r="D13" s="5">
        <v>0.87728009259259254</v>
      </c>
      <c r="E13" s="5">
        <v>0.30723379629629627</v>
      </c>
      <c r="F13" s="5">
        <v>0.37962962962962959</v>
      </c>
      <c r="G13" s="1">
        <v>800000266</v>
      </c>
      <c r="H13" s="1" t="s">
        <v>25</v>
      </c>
      <c r="I13" s="1" t="s">
        <v>147</v>
      </c>
      <c r="J13" s="5">
        <v>0.42995370370370373</v>
      </c>
      <c r="K13" s="5">
        <v>7.239583333333334E-2</v>
      </c>
      <c r="L13" s="1" t="s">
        <v>148</v>
      </c>
      <c r="M13" s="1">
        <v>127512</v>
      </c>
      <c r="N13" s="1">
        <v>200249419</v>
      </c>
      <c r="O13" s="1">
        <v>1</v>
      </c>
      <c r="P13" s="3" t="e">
        <f>VLOOKUP(Tabla3[[#This Row],[Entrega]],#REF!,4)</f>
        <v>#REF!</v>
      </c>
      <c r="Q13" s="2" t="e">
        <f>VLOOKUP(Tabla3[[#This Row],[Entrega]],#REF!,5)</f>
        <v>#REF!</v>
      </c>
      <c r="R13" s="2" t="e">
        <f>VLOOKUP(Tabla3[[#This Row],[Entrega]],#REF!,7)</f>
        <v>#REF!</v>
      </c>
      <c r="S13" s="2" t="e">
        <f>VLOOKUP(Tabla3[[#This Row],[Entrega]],#REF!,19)</f>
        <v>#REF!</v>
      </c>
      <c r="T13" s="3" t="e">
        <f>VLOOKUP(Tabla3[[#This Row],[Entrega]],#REF!,20)</f>
        <v>#REF!</v>
      </c>
    </row>
    <row r="14" spans="1:20" x14ac:dyDescent="0.2">
      <c r="A14" s="1">
        <v>195295</v>
      </c>
      <c r="B14" s="4">
        <v>44836</v>
      </c>
      <c r="C14" s="1" t="s">
        <v>16</v>
      </c>
      <c r="D14" s="5">
        <v>0.94790509259259259</v>
      </c>
      <c r="E14" s="5">
        <v>0.30967592592592591</v>
      </c>
      <c r="F14" s="5">
        <v>0.35516203703703703</v>
      </c>
      <c r="G14" s="1">
        <v>800000266</v>
      </c>
      <c r="H14" s="1" t="s">
        <v>25</v>
      </c>
      <c r="I14" s="1" t="s">
        <v>149</v>
      </c>
      <c r="J14" s="5">
        <v>0.36177083333333332</v>
      </c>
      <c r="K14" s="5">
        <v>4.5486111111111109E-2</v>
      </c>
      <c r="L14" s="1" t="s">
        <v>150</v>
      </c>
      <c r="M14" s="1">
        <v>127511</v>
      </c>
      <c r="N14" s="1">
        <v>200249428</v>
      </c>
      <c r="O14" s="1">
        <v>1</v>
      </c>
      <c r="P14" s="3" t="e">
        <f>VLOOKUP(Tabla3[[#This Row],[Entrega]],#REF!,4)</f>
        <v>#REF!</v>
      </c>
      <c r="Q14" s="2" t="e">
        <f>VLOOKUP(Tabla3[[#This Row],[Entrega]],#REF!,5)</f>
        <v>#REF!</v>
      </c>
      <c r="R14" s="2" t="e">
        <f>VLOOKUP(Tabla3[[#This Row],[Entrega]],#REF!,7)</f>
        <v>#REF!</v>
      </c>
      <c r="S14" s="2" t="e">
        <f>VLOOKUP(Tabla3[[#This Row],[Entrega]],#REF!,19)</f>
        <v>#REF!</v>
      </c>
      <c r="T14" s="3" t="e">
        <f>VLOOKUP(Tabla3[[#This Row],[Entrega]],#REF!,20)</f>
        <v>#REF!</v>
      </c>
    </row>
    <row r="15" spans="1:20" x14ac:dyDescent="0.2">
      <c r="A15" s="1">
        <v>195269</v>
      </c>
      <c r="B15" s="4">
        <v>44836</v>
      </c>
      <c r="C15" s="1" t="s">
        <v>16</v>
      </c>
      <c r="D15" s="5">
        <v>3.0312499999999996E-2</v>
      </c>
      <c r="E15" s="5">
        <v>0.20671296296296296</v>
      </c>
      <c r="F15" s="5">
        <v>0.24284722222222221</v>
      </c>
      <c r="G15" s="1">
        <v>800000266</v>
      </c>
      <c r="H15" s="1" t="s">
        <v>25</v>
      </c>
      <c r="I15" s="1" t="s">
        <v>151</v>
      </c>
      <c r="J15" s="5">
        <v>0.17640046296296297</v>
      </c>
      <c r="K15" s="5">
        <v>3.6134259259259262E-2</v>
      </c>
      <c r="L15" s="1" t="s">
        <v>152</v>
      </c>
      <c r="M15" s="1">
        <v>127510</v>
      </c>
      <c r="N15" s="1">
        <v>200249426</v>
      </c>
      <c r="O15" s="1">
        <v>1</v>
      </c>
      <c r="P15" s="3" t="e">
        <f>VLOOKUP(Tabla3[[#This Row],[Entrega]],#REF!,4)</f>
        <v>#REF!</v>
      </c>
      <c r="Q15" s="2" t="e">
        <f>VLOOKUP(Tabla3[[#This Row],[Entrega]],#REF!,5)</f>
        <v>#REF!</v>
      </c>
      <c r="R15" s="2" t="e">
        <f>VLOOKUP(Tabla3[[#This Row],[Entrega]],#REF!,7)</f>
        <v>#REF!</v>
      </c>
      <c r="S15" s="2" t="e">
        <f>VLOOKUP(Tabla3[[#This Row],[Entrega]],#REF!,19)</f>
        <v>#REF!</v>
      </c>
      <c r="T15" s="3" t="e">
        <f>VLOOKUP(Tabla3[[#This Row],[Entrega]],#REF!,20)</f>
        <v>#REF!</v>
      </c>
    </row>
    <row r="16" spans="1:20" x14ac:dyDescent="0.2">
      <c r="A16" s="1">
        <v>195268</v>
      </c>
      <c r="B16" s="4">
        <v>44836</v>
      </c>
      <c r="C16" s="1" t="s">
        <v>18</v>
      </c>
      <c r="D16" s="5">
        <v>0.19263888888888889</v>
      </c>
      <c r="E16" s="5">
        <v>0.2205324074074074</v>
      </c>
      <c r="F16" s="5">
        <v>0.23732638888888888</v>
      </c>
      <c r="G16" s="1">
        <v>800000001</v>
      </c>
      <c r="H16" s="1" t="s">
        <v>21</v>
      </c>
      <c r="I16" s="1" t="s">
        <v>41</v>
      </c>
      <c r="J16" s="5">
        <v>2.7893518518518515E-2</v>
      </c>
      <c r="K16" s="5">
        <v>1.6793981481481483E-2</v>
      </c>
      <c r="L16" s="1" t="s">
        <v>73</v>
      </c>
      <c r="M16" s="1">
        <v>127509</v>
      </c>
      <c r="N16" s="1">
        <v>200249427</v>
      </c>
      <c r="O16" s="1">
        <v>1</v>
      </c>
      <c r="P16" s="3" t="e">
        <f>VLOOKUP(Tabla3[[#This Row],[Entrega]],#REF!,4)</f>
        <v>#REF!</v>
      </c>
      <c r="Q16" s="2" t="e">
        <f>VLOOKUP(Tabla3[[#This Row],[Entrega]],#REF!,5)</f>
        <v>#REF!</v>
      </c>
      <c r="R16" s="2" t="e">
        <f>VLOOKUP(Tabla3[[#This Row],[Entrega]],#REF!,7)</f>
        <v>#REF!</v>
      </c>
      <c r="S16" s="2" t="e">
        <f>VLOOKUP(Tabla3[[#This Row],[Entrega]],#REF!,19)</f>
        <v>#REF!</v>
      </c>
      <c r="T16" s="3" t="e">
        <f>VLOOKUP(Tabla3[[#This Row],[Entrega]],#REF!,20)</f>
        <v>#REF!</v>
      </c>
    </row>
    <row r="17" spans="1:20" x14ac:dyDescent="0.2">
      <c r="A17" s="1">
        <v>195267</v>
      </c>
      <c r="B17" s="4">
        <v>44836</v>
      </c>
      <c r="C17" s="1" t="s">
        <v>16</v>
      </c>
      <c r="D17" s="5">
        <v>1.5162037037037036E-3</v>
      </c>
      <c r="E17" s="5">
        <v>0.17623842592592595</v>
      </c>
      <c r="F17" s="5">
        <v>0.2149537037037037</v>
      </c>
      <c r="G17" s="1">
        <v>800000269</v>
      </c>
      <c r="H17" s="1" t="s">
        <v>36</v>
      </c>
      <c r="I17" s="1" t="s">
        <v>111</v>
      </c>
      <c r="J17" s="5">
        <v>0.17472222222222222</v>
      </c>
      <c r="K17" s="5">
        <v>3.8715277777777779E-2</v>
      </c>
      <c r="L17" s="1" t="s">
        <v>112</v>
      </c>
      <c r="M17" s="1">
        <v>127508</v>
      </c>
      <c r="N17" s="1">
        <v>200249425</v>
      </c>
      <c r="O17" s="1">
        <v>1</v>
      </c>
      <c r="P17" s="3" t="e">
        <f>VLOOKUP(Tabla3[[#This Row],[Entrega]],#REF!,4)</f>
        <v>#REF!</v>
      </c>
      <c r="Q17" s="2" t="e">
        <f>VLOOKUP(Tabla3[[#This Row],[Entrega]],#REF!,5)</f>
        <v>#REF!</v>
      </c>
      <c r="R17" s="2" t="e">
        <f>VLOOKUP(Tabla3[[#This Row],[Entrega]],#REF!,7)</f>
        <v>#REF!</v>
      </c>
      <c r="S17" s="2" t="e">
        <f>VLOOKUP(Tabla3[[#This Row],[Entrega]],#REF!,19)</f>
        <v>#REF!</v>
      </c>
      <c r="T17" s="3" t="e">
        <f>VLOOKUP(Tabla3[[#This Row],[Entrega]],#REF!,20)</f>
        <v>#REF!</v>
      </c>
    </row>
    <row r="18" spans="1:20" x14ac:dyDescent="0.2">
      <c r="A18" s="1">
        <v>195266</v>
      </c>
      <c r="B18" s="4">
        <v>44836</v>
      </c>
      <c r="C18" s="1" t="s">
        <v>16</v>
      </c>
      <c r="D18" s="5">
        <v>0.88343749999999999</v>
      </c>
      <c r="E18" s="5">
        <v>0.19119212962962964</v>
      </c>
      <c r="F18" s="5">
        <v>0.19261574074074073</v>
      </c>
      <c r="G18" s="1">
        <v>800000268</v>
      </c>
      <c r="H18" s="1" t="s">
        <v>24</v>
      </c>
      <c r="I18" s="1" t="s">
        <v>55</v>
      </c>
      <c r="J18" s="5">
        <v>0.30775462962962963</v>
      </c>
      <c r="K18" s="5">
        <v>1.423611111111111E-3</v>
      </c>
      <c r="L18" s="1" t="s">
        <v>71</v>
      </c>
      <c r="M18" s="1">
        <v>127507</v>
      </c>
      <c r="N18" s="1">
        <v>200249420</v>
      </c>
      <c r="O18" s="1">
        <v>1</v>
      </c>
      <c r="P18" s="3" t="e">
        <f>VLOOKUP(Tabla3[[#This Row],[Entrega]],#REF!,4)</f>
        <v>#REF!</v>
      </c>
      <c r="Q18" s="2" t="e">
        <f>VLOOKUP(Tabla3[[#This Row],[Entrega]],#REF!,5)</f>
        <v>#REF!</v>
      </c>
      <c r="R18" s="2" t="e">
        <f>VLOOKUP(Tabla3[[#This Row],[Entrega]],#REF!,7)</f>
        <v>#REF!</v>
      </c>
      <c r="S18" s="2" t="e">
        <f>VLOOKUP(Tabla3[[#This Row],[Entrega]],#REF!,19)</f>
        <v>#REF!</v>
      </c>
      <c r="T18" s="3" t="e">
        <f>VLOOKUP(Tabla3[[#This Row],[Entrega]],#REF!,20)</f>
        <v>#REF!</v>
      </c>
    </row>
    <row r="19" spans="1:20" x14ac:dyDescent="0.2">
      <c r="A19" s="1">
        <v>195265</v>
      </c>
      <c r="B19" s="4">
        <v>44836</v>
      </c>
      <c r="C19" s="1" t="s">
        <v>18</v>
      </c>
      <c r="D19" s="5">
        <v>5.5046296296296295E-2</v>
      </c>
      <c r="E19" s="5">
        <v>0.15015046296296297</v>
      </c>
      <c r="F19" s="5">
        <v>0.1642824074074074</v>
      </c>
      <c r="G19" s="1">
        <v>800000000</v>
      </c>
      <c r="H19" s="1" t="s">
        <v>20</v>
      </c>
      <c r="I19" s="1" t="s">
        <v>84</v>
      </c>
      <c r="J19" s="5">
        <v>9.5104166666666656E-2</v>
      </c>
      <c r="K19" s="5">
        <v>1.4131944444444445E-2</v>
      </c>
      <c r="L19" s="1" t="s">
        <v>93</v>
      </c>
      <c r="M19" s="1">
        <v>127506</v>
      </c>
      <c r="N19" s="1">
        <v>200249424</v>
      </c>
      <c r="O19" s="1">
        <v>1</v>
      </c>
      <c r="P19" s="3" t="e">
        <f>VLOOKUP(Tabla3[[#This Row],[Entrega]],#REF!,4)</f>
        <v>#REF!</v>
      </c>
      <c r="Q19" s="2" t="e">
        <f>VLOOKUP(Tabla3[[#This Row],[Entrega]],#REF!,5)</f>
        <v>#REF!</v>
      </c>
      <c r="R19" s="2" t="e">
        <f>VLOOKUP(Tabla3[[#This Row],[Entrega]],#REF!,7)</f>
        <v>#REF!</v>
      </c>
      <c r="S19" s="2" t="e">
        <f>VLOOKUP(Tabla3[[#This Row],[Entrega]],#REF!,19)</f>
        <v>#REF!</v>
      </c>
      <c r="T19" s="3" t="e">
        <f>VLOOKUP(Tabla3[[#This Row],[Entrega]],#REF!,20)</f>
        <v>#REF!</v>
      </c>
    </row>
    <row r="20" spans="1:20" x14ac:dyDescent="0.2">
      <c r="A20" s="1">
        <v>195264</v>
      </c>
      <c r="B20" s="4">
        <v>44836</v>
      </c>
      <c r="C20" s="1" t="s">
        <v>18</v>
      </c>
      <c r="D20" s="5">
        <v>2.9594907407407407E-2</v>
      </c>
      <c r="E20" s="5">
        <v>0.14736111111111111</v>
      </c>
      <c r="F20" s="5">
        <v>0.15312499999999998</v>
      </c>
      <c r="G20" s="1">
        <v>800000001</v>
      </c>
      <c r="H20" s="1" t="s">
        <v>21</v>
      </c>
      <c r="I20" s="1" t="s">
        <v>41</v>
      </c>
      <c r="J20" s="5">
        <v>0.11776620370370371</v>
      </c>
      <c r="K20" s="5">
        <v>5.7638888888888887E-3</v>
      </c>
      <c r="L20" s="1" t="s">
        <v>73</v>
      </c>
      <c r="M20" s="1">
        <v>127505</v>
      </c>
      <c r="N20" s="1">
        <v>200249423</v>
      </c>
      <c r="O20" s="1">
        <v>1</v>
      </c>
      <c r="P20" s="3" t="e">
        <f>VLOOKUP(Tabla3[[#This Row],[Entrega]],#REF!,4)</f>
        <v>#REF!</v>
      </c>
      <c r="Q20" s="2" t="e">
        <f>VLOOKUP(Tabla3[[#This Row],[Entrega]],#REF!,5)</f>
        <v>#REF!</v>
      </c>
      <c r="R20" s="2" t="e">
        <f>VLOOKUP(Tabla3[[#This Row],[Entrega]],#REF!,7)</f>
        <v>#REF!</v>
      </c>
      <c r="S20" s="2" t="e">
        <f>VLOOKUP(Tabla3[[#This Row],[Entrega]],#REF!,19)</f>
        <v>#REF!</v>
      </c>
      <c r="T20" s="3" t="e">
        <f>VLOOKUP(Tabla3[[#This Row],[Entrega]],#REF!,20)</f>
        <v>#REF!</v>
      </c>
    </row>
    <row r="21" spans="1:20" x14ac:dyDescent="0.2">
      <c r="A21" s="1">
        <v>195263</v>
      </c>
      <c r="B21" s="4">
        <v>44836</v>
      </c>
      <c r="C21" s="1" t="s">
        <v>18</v>
      </c>
      <c r="D21" s="5">
        <v>1.4467592592592593E-2</v>
      </c>
      <c r="E21" s="5">
        <v>0.11438657407407408</v>
      </c>
      <c r="F21" s="5">
        <v>0.13641203703703705</v>
      </c>
      <c r="G21" s="1">
        <v>800000000</v>
      </c>
      <c r="H21" s="1" t="s">
        <v>20</v>
      </c>
      <c r="I21" s="1" t="s">
        <v>35</v>
      </c>
      <c r="J21" s="5">
        <v>9.9918981481481484E-2</v>
      </c>
      <c r="K21" s="5">
        <v>2.2025462962962958E-2</v>
      </c>
      <c r="L21" s="1" t="s">
        <v>31</v>
      </c>
      <c r="M21" s="1">
        <v>127504</v>
      </c>
      <c r="N21" s="1">
        <v>200249422</v>
      </c>
      <c r="O21" s="1">
        <v>1</v>
      </c>
      <c r="P21" s="3" t="e">
        <f>VLOOKUP(Tabla3[[#This Row],[Entrega]],#REF!,4)</f>
        <v>#REF!</v>
      </c>
      <c r="Q21" s="2" t="e">
        <f>VLOOKUP(Tabla3[[#This Row],[Entrega]],#REF!,5)</f>
        <v>#REF!</v>
      </c>
      <c r="R21" s="2" t="e">
        <f>VLOOKUP(Tabla3[[#This Row],[Entrega]],#REF!,7)</f>
        <v>#REF!</v>
      </c>
      <c r="S21" s="2" t="e">
        <f>VLOOKUP(Tabla3[[#This Row],[Entrega]],#REF!,19)</f>
        <v>#REF!</v>
      </c>
      <c r="T21" s="3" t="e">
        <f>VLOOKUP(Tabla3[[#This Row],[Entrega]],#REF!,20)</f>
        <v>#REF!</v>
      </c>
    </row>
    <row r="22" spans="1:20" x14ac:dyDescent="0.2">
      <c r="A22" s="1">
        <v>195262</v>
      </c>
      <c r="B22" s="4">
        <v>44836</v>
      </c>
      <c r="C22" s="1" t="s">
        <v>18</v>
      </c>
      <c r="D22" s="5">
        <v>1.0243055555555556E-2</v>
      </c>
      <c r="E22" s="5">
        <v>9.9537037037037035E-2</v>
      </c>
      <c r="F22" s="5">
        <v>0.11608796296296296</v>
      </c>
      <c r="G22" s="1">
        <v>800000305</v>
      </c>
      <c r="H22" s="1" t="s">
        <v>22</v>
      </c>
      <c r="I22" s="1" t="s">
        <v>85</v>
      </c>
      <c r="J22" s="5">
        <v>8.9293981481481488E-2</v>
      </c>
      <c r="K22" s="5">
        <v>1.6550925925925924E-2</v>
      </c>
      <c r="L22" s="1" t="s">
        <v>97</v>
      </c>
      <c r="M22" s="1">
        <v>127503</v>
      </c>
      <c r="N22" s="1">
        <v>200249421</v>
      </c>
      <c r="O22" s="1">
        <v>1</v>
      </c>
      <c r="P22" s="3" t="e">
        <f>VLOOKUP(Tabla3[[#This Row],[Entrega]],#REF!,4)</f>
        <v>#REF!</v>
      </c>
      <c r="Q22" s="2" t="e">
        <f>VLOOKUP(Tabla3[[#This Row],[Entrega]],#REF!,5)</f>
        <v>#REF!</v>
      </c>
      <c r="R22" s="2" t="e">
        <f>VLOOKUP(Tabla3[[#This Row],[Entrega]],#REF!,7)</f>
        <v>#REF!</v>
      </c>
      <c r="S22" s="2" t="e">
        <f>VLOOKUP(Tabla3[[#This Row],[Entrega]],#REF!,19)</f>
        <v>#REF!</v>
      </c>
      <c r="T22" s="3" t="e">
        <f>VLOOKUP(Tabla3[[#This Row],[Entrega]],#REF!,20)</f>
        <v>#REF!</v>
      </c>
    </row>
    <row r="23" spans="1:20" x14ac:dyDescent="0.2">
      <c r="A23" s="1">
        <v>195229</v>
      </c>
      <c r="B23" s="4">
        <v>44836</v>
      </c>
      <c r="C23" s="1" t="s">
        <v>18</v>
      </c>
      <c r="D23" s="5">
        <v>0.92885416666666665</v>
      </c>
      <c r="E23" s="5">
        <v>0.98928240740740747</v>
      </c>
      <c r="F23" s="5">
        <v>4.4664351851851851E-2</v>
      </c>
      <c r="G23" s="1">
        <v>800000488</v>
      </c>
      <c r="H23" s="1" t="s">
        <v>51</v>
      </c>
      <c r="I23" s="1" t="s">
        <v>153</v>
      </c>
      <c r="J23" s="5">
        <v>6.0428240740740741E-2</v>
      </c>
      <c r="K23" s="5">
        <v>5.5381944444444442E-2</v>
      </c>
      <c r="L23" s="1" t="s">
        <v>154</v>
      </c>
      <c r="M23" s="1">
        <v>127502</v>
      </c>
      <c r="N23" s="1">
        <v>200249418</v>
      </c>
      <c r="O23" s="1">
        <v>1</v>
      </c>
      <c r="P23" s="3" t="e">
        <f>VLOOKUP(Tabla3[[#This Row],[Entrega]],#REF!,4)</f>
        <v>#REF!</v>
      </c>
      <c r="Q23" s="2" t="e">
        <f>VLOOKUP(Tabla3[[#This Row],[Entrega]],#REF!,5)</f>
        <v>#REF!</v>
      </c>
      <c r="R23" s="2" t="e">
        <f>VLOOKUP(Tabla3[[#This Row],[Entrega]],#REF!,7)</f>
        <v>#REF!</v>
      </c>
      <c r="S23" s="2" t="e">
        <f>VLOOKUP(Tabla3[[#This Row],[Entrega]],#REF!,19)</f>
        <v>#REF!</v>
      </c>
      <c r="T23" s="3" t="e">
        <f>VLOOKUP(Tabla3[[#This Row],[Entrega]],#REF!,20)</f>
        <v>#REF!</v>
      </c>
    </row>
    <row r="24" spans="1:20" x14ac:dyDescent="0.2">
      <c r="A24" s="1">
        <v>195196</v>
      </c>
      <c r="B24" s="4">
        <v>44835</v>
      </c>
      <c r="C24" s="1" t="s">
        <v>18</v>
      </c>
      <c r="D24" s="5">
        <v>0.87641203703703707</v>
      </c>
      <c r="E24" s="5">
        <v>0.93644675925925924</v>
      </c>
      <c r="F24" s="5">
        <v>0.98805555555555558</v>
      </c>
      <c r="G24" s="1">
        <v>800000001</v>
      </c>
      <c r="H24" s="1" t="s">
        <v>21</v>
      </c>
      <c r="I24" s="1" t="s">
        <v>41</v>
      </c>
      <c r="J24" s="5">
        <v>6.0034722222222225E-2</v>
      </c>
      <c r="K24" s="5">
        <v>5.1608796296296298E-2</v>
      </c>
      <c r="L24" s="1" t="s">
        <v>73</v>
      </c>
      <c r="M24" s="1">
        <v>127501</v>
      </c>
      <c r="N24" s="1">
        <v>200249417</v>
      </c>
      <c r="O24" s="1">
        <v>1</v>
      </c>
      <c r="P24" s="3" t="e">
        <f>VLOOKUP(Tabla3[[#This Row],[Entrega]],#REF!,4)</f>
        <v>#REF!</v>
      </c>
      <c r="Q24" s="2" t="e">
        <f>VLOOKUP(Tabla3[[#This Row],[Entrega]],#REF!,5)</f>
        <v>#REF!</v>
      </c>
      <c r="R24" s="2" t="e">
        <f>VLOOKUP(Tabla3[[#This Row],[Entrega]],#REF!,7)</f>
        <v>#REF!</v>
      </c>
      <c r="S24" s="2" t="e">
        <f>VLOOKUP(Tabla3[[#This Row],[Entrega]],#REF!,19)</f>
        <v>#REF!</v>
      </c>
      <c r="T24" s="3" t="e">
        <f>VLOOKUP(Tabla3[[#This Row],[Entrega]],#REF!,20)</f>
        <v>#REF!</v>
      </c>
    </row>
    <row r="25" spans="1:20" x14ac:dyDescent="0.2">
      <c r="A25" s="1">
        <v>195163</v>
      </c>
      <c r="B25" s="4">
        <v>44835</v>
      </c>
      <c r="C25" s="1" t="s">
        <v>16</v>
      </c>
      <c r="D25" s="5">
        <v>0.84357638888888886</v>
      </c>
      <c r="E25" s="5">
        <v>0.85530092592592588</v>
      </c>
      <c r="F25" s="5">
        <v>0.88266203703703694</v>
      </c>
      <c r="G25" s="1">
        <v>800000268</v>
      </c>
      <c r="H25" s="1" t="s">
        <v>24</v>
      </c>
      <c r="I25" s="1" t="s">
        <v>115</v>
      </c>
      <c r="J25" s="5">
        <v>1.1724537037037035E-2</v>
      </c>
      <c r="K25" s="5">
        <v>2.736111111111111E-2</v>
      </c>
      <c r="L25" s="1" t="s">
        <v>116</v>
      </c>
      <c r="M25" s="1">
        <v>127500</v>
      </c>
      <c r="N25" s="1">
        <v>200249416</v>
      </c>
      <c r="O25" s="1">
        <v>1</v>
      </c>
      <c r="P25" s="3" t="e">
        <f>VLOOKUP(Tabla3[[#This Row],[Entrega]],#REF!,4)</f>
        <v>#REF!</v>
      </c>
      <c r="Q25" s="2" t="e">
        <f>VLOOKUP(Tabla3[[#This Row],[Entrega]],#REF!,5)</f>
        <v>#REF!</v>
      </c>
      <c r="R25" s="2" t="e">
        <f>VLOOKUP(Tabla3[[#This Row],[Entrega]],#REF!,7)</f>
        <v>#REF!</v>
      </c>
      <c r="S25" s="2" t="e">
        <f>VLOOKUP(Tabla3[[#This Row],[Entrega]],#REF!,19)</f>
        <v>#REF!</v>
      </c>
      <c r="T25" s="3" t="e">
        <f>VLOOKUP(Tabla3[[#This Row],[Entrega]],#REF!,20)</f>
        <v>#REF!</v>
      </c>
    </row>
    <row r="26" spans="1:20" x14ac:dyDescent="0.2">
      <c r="A26" s="1">
        <v>195142</v>
      </c>
      <c r="B26" s="4">
        <v>44835</v>
      </c>
      <c r="C26" s="1" t="s">
        <v>16</v>
      </c>
      <c r="D26" s="5">
        <v>0.76240740740740742</v>
      </c>
      <c r="E26" s="5">
        <v>0.79563657407407407</v>
      </c>
      <c r="F26" s="5">
        <v>0.84475694444444438</v>
      </c>
      <c r="G26" s="1">
        <v>800000266</v>
      </c>
      <c r="H26" s="1" t="s">
        <v>25</v>
      </c>
      <c r="I26" s="1" t="s">
        <v>101</v>
      </c>
      <c r="J26" s="5">
        <v>3.3229166666666664E-2</v>
      </c>
      <c r="K26" s="5">
        <v>4.912037037037037E-2</v>
      </c>
      <c r="L26" s="1" t="s">
        <v>103</v>
      </c>
      <c r="M26" s="1">
        <v>127499</v>
      </c>
      <c r="N26" s="1">
        <v>200249415</v>
      </c>
      <c r="O26" s="1">
        <v>1</v>
      </c>
      <c r="P26" s="3" t="e">
        <f>VLOOKUP(Tabla3[[#This Row],[Entrega]],#REF!,4)</f>
        <v>#REF!</v>
      </c>
      <c r="Q26" s="2" t="e">
        <f>VLOOKUP(Tabla3[[#This Row],[Entrega]],#REF!,5)</f>
        <v>#REF!</v>
      </c>
      <c r="R26" s="2" t="e">
        <f>VLOOKUP(Tabla3[[#This Row],[Entrega]],#REF!,7)</f>
        <v>#REF!</v>
      </c>
      <c r="S26" s="2" t="e">
        <f>VLOOKUP(Tabla3[[#This Row],[Entrega]],#REF!,19)</f>
        <v>#REF!</v>
      </c>
      <c r="T26" s="3" t="e">
        <f>VLOOKUP(Tabla3[[#This Row],[Entrega]],#REF!,20)</f>
        <v>#REF!</v>
      </c>
    </row>
    <row r="27" spans="1:20" x14ac:dyDescent="0.2">
      <c r="A27" s="1">
        <v>195141</v>
      </c>
      <c r="B27" s="4">
        <v>44835</v>
      </c>
      <c r="C27" s="1" t="s">
        <v>16</v>
      </c>
      <c r="D27" s="5">
        <v>0.73137731481481483</v>
      </c>
      <c r="E27" s="5">
        <v>0.76346064814814818</v>
      </c>
      <c r="F27" s="5">
        <v>0.83909722222222216</v>
      </c>
      <c r="G27" s="1">
        <v>800000269</v>
      </c>
      <c r="H27" s="1" t="s">
        <v>36</v>
      </c>
      <c r="I27" s="1" t="s">
        <v>155</v>
      </c>
      <c r="J27" s="5">
        <v>3.2083333333333332E-2</v>
      </c>
      <c r="K27" s="5">
        <v>7.5636574074074078E-2</v>
      </c>
      <c r="L27" s="1" t="s">
        <v>156</v>
      </c>
      <c r="M27" s="1">
        <v>127498</v>
      </c>
      <c r="N27" s="1">
        <v>200249414</v>
      </c>
      <c r="O27" s="1">
        <v>1</v>
      </c>
      <c r="P27" s="3" t="e">
        <f>VLOOKUP(Tabla3[[#This Row],[Entrega]],#REF!,4)</f>
        <v>#REF!</v>
      </c>
      <c r="Q27" s="2" t="e">
        <f>VLOOKUP(Tabla3[[#This Row],[Entrega]],#REF!,5)</f>
        <v>#REF!</v>
      </c>
      <c r="R27" s="2" t="e">
        <f>VLOOKUP(Tabla3[[#This Row],[Entrega]],#REF!,7)</f>
        <v>#REF!</v>
      </c>
      <c r="S27" s="2" t="e">
        <f>VLOOKUP(Tabla3[[#This Row],[Entrega]],#REF!,19)</f>
        <v>#REF!</v>
      </c>
      <c r="T27" s="3" t="e">
        <f>VLOOKUP(Tabla3[[#This Row],[Entrega]],#REF!,20)</f>
        <v>#REF!</v>
      </c>
    </row>
    <row r="28" spans="1:20" x14ac:dyDescent="0.2">
      <c r="A28" s="1">
        <v>195140</v>
      </c>
      <c r="B28" s="4">
        <v>44835</v>
      </c>
      <c r="C28" s="1" t="s">
        <v>16</v>
      </c>
      <c r="D28" s="5">
        <v>0.69109953703703697</v>
      </c>
      <c r="E28" s="5">
        <v>0.72706018518518523</v>
      </c>
      <c r="F28" s="5">
        <v>0.81335648148148154</v>
      </c>
      <c r="G28" s="1">
        <v>800000269</v>
      </c>
      <c r="H28" s="1" t="s">
        <v>36</v>
      </c>
      <c r="I28" s="1" t="s">
        <v>157</v>
      </c>
      <c r="J28" s="5">
        <v>3.5960648148148151E-2</v>
      </c>
      <c r="K28" s="5">
        <v>8.6296296296296301E-2</v>
      </c>
      <c r="L28" s="1" t="s">
        <v>158</v>
      </c>
      <c r="M28" s="1">
        <v>127497</v>
      </c>
      <c r="N28" s="1">
        <v>200249413</v>
      </c>
      <c r="O28" s="1">
        <v>1</v>
      </c>
      <c r="P28" s="3" t="e">
        <f>VLOOKUP(Tabla3[[#This Row],[Entrega]],#REF!,4)</f>
        <v>#REF!</v>
      </c>
      <c r="Q28" s="2" t="e">
        <f>VLOOKUP(Tabla3[[#This Row],[Entrega]],#REF!,5)</f>
        <v>#REF!</v>
      </c>
      <c r="R28" s="2" t="e">
        <f>VLOOKUP(Tabla3[[#This Row],[Entrega]],#REF!,7)</f>
        <v>#REF!</v>
      </c>
      <c r="S28" s="2" t="e">
        <f>VLOOKUP(Tabla3[[#This Row],[Entrega]],#REF!,19)</f>
        <v>#REF!</v>
      </c>
      <c r="T28" s="3" t="e">
        <f>VLOOKUP(Tabla3[[#This Row],[Entrega]],#REF!,20)</f>
        <v>#REF!</v>
      </c>
    </row>
    <row r="29" spans="1:20" x14ac:dyDescent="0.2">
      <c r="A29" s="1">
        <v>195139</v>
      </c>
      <c r="B29" s="4">
        <v>44835</v>
      </c>
      <c r="C29" s="1" t="s">
        <v>16</v>
      </c>
      <c r="D29" s="5">
        <v>0.65218750000000003</v>
      </c>
      <c r="E29" s="5">
        <v>0.69502314814814825</v>
      </c>
      <c r="F29" s="5">
        <v>0.75645833333333334</v>
      </c>
      <c r="G29" s="1">
        <v>800000268</v>
      </c>
      <c r="H29" s="1" t="s">
        <v>24</v>
      </c>
      <c r="I29" s="1" t="s">
        <v>94</v>
      </c>
      <c r="J29" s="5">
        <v>4.2835648148148144E-2</v>
      </c>
      <c r="K29" s="5">
        <v>6.1435185185185183E-2</v>
      </c>
      <c r="L29" s="1" t="s">
        <v>95</v>
      </c>
      <c r="M29" s="1">
        <v>127496</v>
      </c>
      <c r="N29" s="1">
        <v>200249411</v>
      </c>
      <c r="O29" s="1">
        <v>1</v>
      </c>
      <c r="P29" s="3" t="e">
        <f>VLOOKUP(Tabla3[[#This Row],[Entrega]],#REF!,4)</f>
        <v>#REF!</v>
      </c>
      <c r="Q29" s="2" t="e">
        <f>VLOOKUP(Tabla3[[#This Row],[Entrega]],#REF!,5)</f>
        <v>#REF!</v>
      </c>
      <c r="R29" s="2" t="e">
        <f>VLOOKUP(Tabla3[[#This Row],[Entrega]],#REF!,7)</f>
        <v>#REF!</v>
      </c>
      <c r="S29" s="2" t="e">
        <f>VLOOKUP(Tabla3[[#This Row],[Entrega]],#REF!,19)</f>
        <v>#REF!</v>
      </c>
      <c r="T29" s="3" t="e">
        <f>VLOOKUP(Tabla3[[#This Row],[Entrega]],#REF!,20)</f>
        <v>#REF!</v>
      </c>
    </row>
    <row r="30" spans="1:20" x14ac:dyDescent="0.2">
      <c r="A30" s="1">
        <v>195138</v>
      </c>
      <c r="B30" s="4">
        <v>44835</v>
      </c>
      <c r="C30" s="1" t="s">
        <v>18</v>
      </c>
      <c r="D30" s="5">
        <v>0.64416666666666667</v>
      </c>
      <c r="E30" s="5">
        <v>0.68083333333333329</v>
      </c>
      <c r="F30" s="5">
        <v>0.74564814814814817</v>
      </c>
      <c r="G30" s="1">
        <v>800000418</v>
      </c>
      <c r="H30" s="1" t="s">
        <v>19</v>
      </c>
      <c r="I30" s="1" t="s">
        <v>96</v>
      </c>
      <c r="J30" s="5">
        <v>3.6666666666666667E-2</v>
      </c>
      <c r="K30" s="5">
        <v>6.4814814814814811E-2</v>
      </c>
      <c r="L30" s="1" t="s">
        <v>159</v>
      </c>
      <c r="M30" s="1">
        <v>127495</v>
      </c>
      <c r="N30" s="1">
        <v>200249410</v>
      </c>
      <c r="O30" s="1">
        <v>1</v>
      </c>
      <c r="P30" s="3" t="e">
        <f>VLOOKUP(Tabla3[[#This Row],[Entrega]],#REF!,4)</f>
        <v>#REF!</v>
      </c>
      <c r="Q30" s="2" t="e">
        <f>VLOOKUP(Tabla3[[#This Row],[Entrega]],#REF!,5)</f>
        <v>#REF!</v>
      </c>
      <c r="R30" s="2" t="e">
        <f>VLOOKUP(Tabla3[[#This Row],[Entrega]],#REF!,7)</f>
        <v>#REF!</v>
      </c>
      <c r="S30" s="2" t="e">
        <f>VLOOKUP(Tabla3[[#This Row],[Entrega]],#REF!,19)</f>
        <v>#REF!</v>
      </c>
      <c r="T30" s="3" t="e">
        <f>VLOOKUP(Tabla3[[#This Row],[Entrega]],#REF!,20)</f>
        <v>#REF!</v>
      </c>
    </row>
    <row r="31" spans="1:20" x14ac:dyDescent="0.2">
      <c r="A31" s="1">
        <v>195137</v>
      </c>
      <c r="B31" s="4">
        <v>44835</v>
      </c>
      <c r="C31" s="1" t="s">
        <v>16</v>
      </c>
      <c r="D31" s="5">
        <v>0.60594907407407406</v>
      </c>
      <c r="E31" s="5">
        <v>0.67136574074074085</v>
      </c>
      <c r="F31" s="5">
        <v>0.70895833333333336</v>
      </c>
      <c r="G31" s="1">
        <v>800000489</v>
      </c>
      <c r="H31" s="1" t="s">
        <v>39</v>
      </c>
      <c r="I31" s="1" t="s">
        <v>42</v>
      </c>
      <c r="J31" s="5">
        <v>6.5416666666666665E-2</v>
      </c>
      <c r="K31" s="5">
        <v>3.7592592592592594E-2</v>
      </c>
      <c r="L31" s="1" t="s">
        <v>105</v>
      </c>
      <c r="M31" s="1">
        <v>127494</v>
      </c>
      <c r="N31" s="1">
        <v>200249412</v>
      </c>
      <c r="O31" s="1">
        <v>1</v>
      </c>
      <c r="P31" s="3" t="e">
        <f>VLOOKUP(Tabla3[[#This Row],[Entrega]],#REF!,4)</f>
        <v>#REF!</v>
      </c>
      <c r="Q31" s="2" t="e">
        <f>VLOOKUP(Tabla3[[#This Row],[Entrega]],#REF!,5)</f>
        <v>#REF!</v>
      </c>
      <c r="R31" s="2" t="e">
        <f>VLOOKUP(Tabla3[[#This Row],[Entrega]],#REF!,7)</f>
        <v>#REF!</v>
      </c>
      <c r="S31" s="2" t="e">
        <f>VLOOKUP(Tabla3[[#This Row],[Entrega]],#REF!,19)</f>
        <v>#REF!</v>
      </c>
      <c r="T31" s="3" t="e">
        <f>VLOOKUP(Tabla3[[#This Row],[Entrega]],#REF!,20)</f>
        <v>#REF!</v>
      </c>
    </row>
    <row r="32" spans="1:20" x14ac:dyDescent="0.2">
      <c r="A32" s="1">
        <v>195136</v>
      </c>
      <c r="B32" s="4">
        <v>44835</v>
      </c>
      <c r="C32" s="1" t="s">
        <v>16</v>
      </c>
      <c r="D32" s="5">
        <v>0.56009259259259259</v>
      </c>
      <c r="E32" s="5">
        <v>0.57424768518518521</v>
      </c>
      <c r="F32" s="5">
        <v>0.69417824074074075</v>
      </c>
      <c r="G32" s="1">
        <v>800000489</v>
      </c>
      <c r="H32" s="1" t="s">
        <v>39</v>
      </c>
      <c r="I32" s="1" t="s">
        <v>74</v>
      </c>
      <c r="J32" s="5">
        <v>1.4155092592592592E-2</v>
      </c>
      <c r="K32" s="5">
        <v>0.11993055555555555</v>
      </c>
      <c r="L32" s="1" t="s">
        <v>75</v>
      </c>
      <c r="M32" s="1">
        <v>127493</v>
      </c>
      <c r="N32" s="1">
        <v>200249408</v>
      </c>
      <c r="O32" s="1">
        <v>1</v>
      </c>
      <c r="P32" s="3" t="e">
        <f>VLOOKUP(Tabla3[[#This Row],[Entrega]],#REF!,4)</f>
        <v>#REF!</v>
      </c>
      <c r="Q32" s="2" t="e">
        <f>VLOOKUP(Tabla3[[#This Row],[Entrega]],#REF!,5)</f>
        <v>#REF!</v>
      </c>
      <c r="R32" s="2" t="e">
        <f>VLOOKUP(Tabla3[[#This Row],[Entrega]],#REF!,7)</f>
        <v>#REF!</v>
      </c>
      <c r="S32" s="2" t="e">
        <f>VLOOKUP(Tabla3[[#This Row],[Entrega]],#REF!,19)</f>
        <v>#REF!</v>
      </c>
      <c r="T32" s="3" t="e">
        <f>VLOOKUP(Tabla3[[#This Row],[Entrega]],#REF!,20)</f>
        <v>#REF!</v>
      </c>
    </row>
    <row r="33" spans="1:20" x14ac:dyDescent="0.2">
      <c r="A33" s="1">
        <v>195135</v>
      </c>
      <c r="B33" s="4">
        <v>44835</v>
      </c>
      <c r="C33" s="1" t="s">
        <v>87</v>
      </c>
      <c r="D33" s="5">
        <v>0.60863425925925929</v>
      </c>
      <c r="E33" s="5">
        <v>0.63210648148148152</v>
      </c>
      <c r="F33" s="5">
        <v>0.65766203703703707</v>
      </c>
      <c r="G33" s="1">
        <v>800000891</v>
      </c>
      <c r="H33" s="1" t="s">
        <v>44</v>
      </c>
      <c r="I33" s="1" t="s">
        <v>46</v>
      </c>
      <c r="J33" s="5">
        <v>2.3472222222222217E-2</v>
      </c>
      <c r="K33" s="5">
        <v>2.5555555555555554E-2</v>
      </c>
      <c r="L33" s="1" t="s">
        <v>160</v>
      </c>
      <c r="M33" s="1">
        <v>55405</v>
      </c>
      <c r="N33" s="1">
        <v>83324942</v>
      </c>
      <c r="O33" s="1">
        <v>1</v>
      </c>
      <c r="P33" s="3" t="e">
        <f>VLOOKUP(Tabla3[[#This Row],[Entrega]],#REF!,4)</f>
        <v>#REF!</v>
      </c>
      <c r="Q33" s="2" t="e">
        <f>VLOOKUP(Tabla3[[#This Row],[Entrega]],#REF!,5)</f>
        <v>#REF!</v>
      </c>
      <c r="R33" s="2" t="e">
        <f>VLOOKUP(Tabla3[[#This Row],[Entrega]],#REF!,7)</f>
        <v>#REF!</v>
      </c>
      <c r="S33" s="2" t="e">
        <f>VLOOKUP(Tabla3[[#This Row],[Entrega]],#REF!,19)</f>
        <v>#REF!</v>
      </c>
      <c r="T33" s="3" t="e">
        <f>VLOOKUP(Tabla3[[#This Row],[Entrega]],#REF!,20)</f>
        <v>#REF!</v>
      </c>
    </row>
    <row r="34" spans="1:20" x14ac:dyDescent="0.2">
      <c r="A34" s="1">
        <v>195134</v>
      </c>
      <c r="B34" s="4">
        <v>44835</v>
      </c>
      <c r="C34" s="1" t="s">
        <v>87</v>
      </c>
      <c r="D34" s="5">
        <v>0.59384259259259264</v>
      </c>
      <c r="E34" s="5">
        <v>0.60965277777777771</v>
      </c>
      <c r="F34" s="5">
        <v>0.64334490740740746</v>
      </c>
      <c r="G34" s="1">
        <v>800000891</v>
      </c>
      <c r="H34" s="1" t="s">
        <v>44</v>
      </c>
      <c r="I34" s="1" t="s">
        <v>88</v>
      </c>
      <c r="J34" s="5">
        <v>1.5810185185185184E-2</v>
      </c>
      <c r="K34" s="5">
        <v>3.3692129629629627E-2</v>
      </c>
      <c r="L34" s="1" t="s">
        <v>82</v>
      </c>
      <c r="M34" s="1">
        <v>55403</v>
      </c>
      <c r="N34" s="1">
        <v>83324936</v>
      </c>
      <c r="O34" s="1">
        <v>1</v>
      </c>
      <c r="P34" s="3" t="e">
        <f>VLOOKUP(Tabla3[[#This Row],[Entrega]],#REF!,4)</f>
        <v>#REF!</v>
      </c>
      <c r="Q34" s="2" t="e">
        <f>VLOOKUP(Tabla3[[#This Row],[Entrega]],#REF!,5)</f>
        <v>#REF!</v>
      </c>
      <c r="R34" s="2" t="e">
        <f>VLOOKUP(Tabla3[[#This Row],[Entrega]],#REF!,7)</f>
        <v>#REF!</v>
      </c>
      <c r="S34" s="2" t="e">
        <f>VLOOKUP(Tabla3[[#This Row],[Entrega]],#REF!,19)</f>
        <v>#REF!</v>
      </c>
      <c r="T34" s="3" t="e">
        <f>VLOOKUP(Tabla3[[#This Row],[Entrega]],#REF!,20)</f>
        <v>#REF!</v>
      </c>
    </row>
    <row r="35" spans="1:20" x14ac:dyDescent="0.2">
      <c r="A35" s="1">
        <v>194367</v>
      </c>
      <c r="B35" s="4">
        <v>44831</v>
      </c>
      <c r="C35" s="1" t="s">
        <v>16</v>
      </c>
      <c r="D35" s="5">
        <v>0.6322916666666667</v>
      </c>
      <c r="E35" s="5">
        <v>0.82476851851851851</v>
      </c>
      <c r="F35" s="5">
        <v>0.87035879629629631</v>
      </c>
      <c r="G35" s="1">
        <v>800000670</v>
      </c>
      <c r="H35" s="1" t="s">
        <v>44</v>
      </c>
      <c r="I35" s="1" t="s">
        <v>113</v>
      </c>
      <c r="J35" s="5">
        <v>0.19247685185185184</v>
      </c>
      <c r="K35" s="5">
        <v>4.5590277777777778E-2</v>
      </c>
      <c r="L35" s="1" t="s">
        <v>226</v>
      </c>
      <c r="M35" s="1">
        <v>55319</v>
      </c>
      <c r="N35" s="1">
        <v>83324189</v>
      </c>
      <c r="O35" s="1">
        <v>1</v>
      </c>
      <c r="P35" s="3" t="e">
        <f>VLOOKUP(Tabla3[[#This Row],[Entrega]],#REF!,4)</f>
        <v>#REF!</v>
      </c>
      <c r="Q35" s="2" t="e">
        <f>VLOOKUP(Tabla3[[#This Row],[Entrega]],#REF!,5)</f>
        <v>#REF!</v>
      </c>
      <c r="R35" s="2" t="e">
        <f>VLOOKUP(Tabla3[[#This Row],[Entrega]],#REF!,7)</f>
        <v>#REF!</v>
      </c>
      <c r="S35" s="2" t="e">
        <f>VLOOKUP(Tabla3[[#This Row],[Entrega]],#REF!,19)</f>
        <v>#REF!</v>
      </c>
      <c r="T35" s="3" t="e">
        <f>VLOOKUP(Tabla3[[#This Row],[Entrega]],#REF!,20)</f>
        <v>#REF!</v>
      </c>
    </row>
    <row r="36" spans="1:20" x14ac:dyDescent="0.2">
      <c r="A36" s="1">
        <v>195132</v>
      </c>
      <c r="B36" s="4">
        <v>44835</v>
      </c>
      <c r="C36" s="1" t="s">
        <v>87</v>
      </c>
      <c r="D36" s="5">
        <v>0.50982638888888887</v>
      </c>
      <c r="E36" s="5">
        <v>0.5428587962962963</v>
      </c>
      <c r="F36" s="5">
        <v>0.5600694444444444</v>
      </c>
      <c r="G36" s="1">
        <v>800000891</v>
      </c>
      <c r="H36" s="1" t="s">
        <v>44</v>
      </c>
      <c r="I36" s="1" t="s">
        <v>46</v>
      </c>
      <c r="J36" s="5">
        <v>3.3032407407407406E-2</v>
      </c>
      <c r="K36" s="5">
        <v>1.7210648148148149E-2</v>
      </c>
      <c r="L36" s="1" t="s">
        <v>160</v>
      </c>
      <c r="M36" s="1">
        <v>55400</v>
      </c>
      <c r="N36" s="1">
        <v>83324910</v>
      </c>
      <c r="O36" s="1">
        <v>1</v>
      </c>
      <c r="P36" s="3" t="e">
        <f>VLOOKUP(Tabla3[[#This Row],[Entrega]],#REF!,4)</f>
        <v>#REF!</v>
      </c>
      <c r="Q36" s="2" t="e">
        <f>VLOOKUP(Tabla3[[#This Row],[Entrega]],#REF!,5)</f>
        <v>#REF!</v>
      </c>
      <c r="R36" s="2" t="e">
        <f>VLOOKUP(Tabla3[[#This Row],[Entrega]],#REF!,7)</f>
        <v>#REF!</v>
      </c>
      <c r="S36" s="2" t="e">
        <f>VLOOKUP(Tabla3[[#This Row],[Entrega]],#REF!,19)</f>
        <v>#REF!</v>
      </c>
      <c r="T36" s="3" t="e">
        <f>VLOOKUP(Tabla3[[#This Row],[Entrega]],#REF!,20)</f>
        <v>#REF!</v>
      </c>
    </row>
    <row r="37" spans="1:20" x14ac:dyDescent="0.2">
      <c r="A37" s="1">
        <v>195131</v>
      </c>
      <c r="B37" s="4">
        <v>44835</v>
      </c>
      <c r="C37" s="1" t="s">
        <v>18</v>
      </c>
      <c r="D37" s="5">
        <v>0.44282407407407409</v>
      </c>
      <c r="E37" s="5">
        <v>0.45929398148148143</v>
      </c>
      <c r="F37" s="5">
        <v>0.55817129629629625</v>
      </c>
      <c r="G37" s="1">
        <v>800000418</v>
      </c>
      <c r="H37" s="1" t="s">
        <v>19</v>
      </c>
      <c r="I37" s="1" t="s">
        <v>161</v>
      </c>
      <c r="J37" s="5">
        <v>1.6469907407407405E-2</v>
      </c>
      <c r="K37" s="5">
        <v>9.8877314814814821E-2</v>
      </c>
      <c r="L37" s="1" t="s">
        <v>162</v>
      </c>
      <c r="M37" s="1">
        <v>127492</v>
      </c>
      <c r="N37" s="1">
        <v>200249407</v>
      </c>
      <c r="O37" s="1">
        <v>1</v>
      </c>
      <c r="P37" s="3" t="e">
        <f>VLOOKUP(Tabla3[[#This Row],[Entrega]],#REF!,4)</f>
        <v>#REF!</v>
      </c>
      <c r="Q37" s="2" t="e">
        <f>VLOOKUP(Tabla3[[#This Row],[Entrega]],#REF!,5)</f>
        <v>#REF!</v>
      </c>
      <c r="R37" s="2" t="e">
        <f>VLOOKUP(Tabla3[[#This Row],[Entrega]],#REF!,7)</f>
        <v>#REF!</v>
      </c>
      <c r="S37" s="2" t="e">
        <f>VLOOKUP(Tabla3[[#This Row],[Entrega]],#REF!,19)</f>
        <v>#REF!</v>
      </c>
      <c r="T37" s="3" t="e">
        <f>VLOOKUP(Tabla3[[#This Row],[Entrega]],#REF!,20)</f>
        <v>#REF!</v>
      </c>
    </row>
    <row r="38" spans="1:20" x14ac:dyDescent="0.2">
      <c r="A38" s="1">
        <v>195130</v>
      </c>
      <c r="B38" s="4">
        <v>44835</v>
      </c>
      <c r="C38" s="1" t="s">
        <v>87</v>
      </c>
      <c r="D38" s="5">
        <v>0.50116898148148148</v>
      </c>
      <c r="E38" s="5">
        <v>0.51203703703703707</v>
      </c>
      <c r="F38" s="5">
        <v>0.55177083333333332</v>
      </c>
      <c r="G38" s="1">
        <v>800000891</v>
      </c>
      <c r="H38" s="1" t="s">
        <v>44</v>
      </c>
      <c r="I38" s="1" t="s">
        <v>88</v>
      </c>
      <c r="J38" s="5">
        <v>1.0868055555555556E-2</v>
      </c>
      <c r="K38" s="5">
        <v>3.9733796296296302E-2</v>
      </c>
      <c r="L38" s="1" t="s">
        <v>82</v>
      </c>
      <c r="M38" s="1">
        <v>55399</v>
      </c>
      <c r="N38" s="1">
        <v>83324909</v>
      </c>
      <c r="O38" s="1">
        <v>1</v>
      </c>
      <c r="P38" s="3" t="e">
        <f>VLOOKUP(Tabla3[[#This Row],[Entrega]],#REF!,4)</f>
        <v>#REF!</v>
      </c>
      <c r="Q38" s="2" t="e">
        <f>VLOOKUP(Tabla3[[#This Row],[Entrega]],#REF!,5)</f>
        <v>#REF!</v>
      </c>
      <c r="R38" s="2" t="e">
        <f>VLOOKUP(Tabla3[[#This Row],[Entrega]],#REF!,7)</f>
        <v>#REF!</v>
      </c>
      <c r="S38" s="2" t="e">
        <f>VLOOKUP(Tabla3[[#This Row],[Entrega]],#REF!,19)</f>
        <v>#REF!</v>
      </c>
      <c r="T38" s="3" t="e">
        <f>VLOOKUP(Tabla3[[#This Row],[Entrega]],#REF!,20)</f>
        <v>#REF!</v>
      </c>
    </row>
    <row r="39" spans="1:20" ht="17" customHeight="1" x14ac:dyDescent="0.2">
      <c r="A39" s="1">
        <v>194900</v>
      </c>
      <c r="B39" s="4">
        <v>44834</v>
      </c>
      <c r="C39" s="1" t="s">
        <v>16</v>
      </c>
      <c r="D39" s="5">
        <v>0.76016203703703711</v>
      </c>
      <c r="E39" s="5">
        <v>0.76768518518518514</v>
      </c>
      <c r="F39" s="5">
        <v>0.83032407407407405</v>
      </c>
      <c r="G39" s="1">
        <v>800000670</v>
      </c>
      <c r="H39" s="1" t="s">
        <v>44</v>
      </c>
      <c r="I39" s="1" t="s">
        <v>74</v>
      </c>
      <c r="J39" s="5">
        <v>7.5231481481481477E-3</v>
      </c>
      <c r="K39" s="5">
        <v>6.2638888888888897E-2</v>
      </c>
      <c r="L39" s="1" t="s">
        <v>110</v>
      </c>
      <c r="M39" s="1">
        <v>55385</v>
      </c>
      <c r="N39" s="1">
        <v>83324698</v>
      </c>
      <c r="O39" s="1">
        <v>1</v>
      </c>
      <c r="P39" s="3" t="e">
        <f>VLOOKUP(Tabla3[[#This Row],[Entrega]],#REF!,4)</f>
        <v>#REF!</v>
      </c>
      <c r="Q39" s="2" t="e">
        <f>VLOOKUP(Tabla3[[#This Row],[Entrega]],#REF!,5)</f>
        <v>#REF!</v>
      </c>
      <c r="R39" s="2" t="e">
        <f>VLOOKUP(Tabla3[[#This Row],[Entrega]],#REF!,7)</f>
        <v>#REF!</v>
      </c>
      <c r="S39" s="2" t="e">
        <f>VLOOKUP(Tabla3[[#This Row],[Entrega]],#REF!,19)</f>
        <v>#REF!</v>
      </c>
      <c r="T39" s="3" t="e">
        <f>VLOOKUP(Tabla3[[#This Row],[Entrega]],#REF!,20)</f>
        <v>#REF!</v>
      </c>
    </row>
    <row r="40" spans="1:20" x14ac:dyDescent="0.2">
      <c r="A40" s="1">
        <v>195101</v>
      </c>
      <c r="B40" s="4">
        <v>44835</v>
      </c>
      <c r="C40" s="1" t="s">
        <v>87</v>
      </c>
      <c r="D40" s="5">
        <v>0.42053240740740744</v>
      </c>
      <c r="E40" s="5">
        <v>0.43009259259259264</v>
      </c>
      <c r="F40" s="5">
        <v>0.4596412037037037</v>
      </c>
      <c r="G40" s="1">
        <v>800000891</v>
      </c>
      <c r="H40" s="1" t="s">
        <v>44</v>
      </c>
      <c r="I40" s="1" t="s">
        <v>46</v>
      </c>
      <c r="J40" s="5">
        <v>9.5601851851851855E-3</v>
      </c>
      <c r="K40" s="5">
        <v>2.9548611111111109E-2</v>
      </c>
      <c r="L40" s="1" t="s">
        <v>160</v>
      </c>
      <c r="M40" s="1">
        <v>55393</v>
      </c>
      <c r="N40" s="1">
        <v>83324890</v>
      </c>
      <c r="O40" s="1">
        <v>1</v>
      </c>
      <c r="P40" s="3" t="e">
        <f>VLOOKUP(Tabla3[[#This Row],[Entrega]],#REF!,4)</f>
        <v>#REF!</v>
      </c>
      <c r="Q40" s="2" t="e">
        <f>VLOOKUP(Tabla3[[#This Row],[Entrega]],#REF!,5)</f>
        <v>#REF!</v>
      </c>
      <c r="R40" s="2" t="e">
        <f>VLOOKUP(Tabla3[[#This Row],[Entrega]],#REF!,7)</f>
        <v>#REF!</v>
      </c>
      <c r="S40" s="2" t="e">
        <f>VLOOKUP(Tabla3[[#This Row],[Entrega]],#REF!,19)</f>
        <v>#REF!</v>
      </c>
      <c r="T40" s="3" t="e">
        <f>VLOOKUP(Tabla3[[#This Row],[Entrega]],#REF!,20)</f>
        <v>#REF!</v>
      </c>
    </row>
    <row r="41" spans="1:20" x14ac:dyDescent="0.2">
      <c r="A41" s="1">
        <v>195100</v>
      </c>
      <c r="B41" s="4">
        <v>44835</v>
      </c>
      <c r="C41" s="1" t="s">
        <v>87</v>
      </c>
      <c r="D41" s="5">
        <v>0.40554398148148146</v>
      </c>
      <c r="E41" s="5">
        <v>0.42113425925925929</v>
      </c>
      <c r="F41" s="5">
        <v>0.45240740740740742</v>
      </c>
      <c r="G41" s="1">
        <v>800000891</v>
      </c>
      <c r="H41" s="1" t="s">
        <v>44</v>
      </c>
      <c r="I41" s="1" t="s">
        <v>88</v>
      </c>
      <c r="J41" s="5">
        <v>1.5590277777777778E-2</v>
      </c>
      <c r="K41" s="5">
        <v>3.1273148148148147E-2</v>
      </c>
      <c r="L41" s="1" t="s">
        <v>82</v>
      </c>
      <c r="M41" s="1">
        <v>55392</v>
      </c>
      <c r="N41" s="1">
        <v>83324888</v>
      </c>
      <c r="O41" s="1">
        <v>1</v>
      </c>
      <c r="P41" s="3" t="e">
        <f>VLOOKUP(Tabla3[[#This Row],[Entrega]],#REF!,4)</f>
        <v>#REF!</v>
      </c>
      <c r="Q41" s="2" t="e">
        <f>VLOOKUP(Tabla3[[#This Row],[Entrega]],#REF!,5)</f>
        <v>#REF!</v>
      </c>
      <c r="R41" s="2" t="e">
        <f>VLOOKUP(Tabla3[[#This Row],[Entrega]],#REF!,7)</f>
        <v>#REF!</v>
      </c>
      <c r="S41" s="2" t="e">
        <f>VLOOKUP(Tabla3[[#This Row],[Entrega]],#REF!,19)</f>
        <v>#REF!</v>
      </c>
      <c r="T41" s="3" t="e">
        <f>VLOOKUP(Tabla3[[#This Row],[Entrega]],#REF!,20)</f>
        <v>#REF!</v>
      </c>
    </row>
    <row r="42" spans="1:20" x14ac:dyDescent="0.2">
      <c r="A42" s="1">
        <v>195099</v>
      </c>
      <c r="B42" s="4">
        <v>44835</v>
      </c>
      <c r="C42" s="1" t="s">
        <v>18</v>
      </c>
      <c r="D42" s="5">
        <v>0.38989583333333333</v>
      </c>
      <c r="E42" s="5">
        <v>0.395474537037037</v>
      </c>
      <c r="F42" s="5">
        <v>0.4450810185185185</v>
      </c>
      <c r="G42" s="1">
        <v>800000001</v>
      </c>
      <c r="H42" s="1" t="s">
        <v>21</v>
      </c>
      <c r="I42" s="1" t="s">
        <v>37</v>
      </c>
      <c r="J42" s="5">
        <v>5.5787037037037038E-3</v>
      </c>
      <c r="K42" s="5">
        <v>4.9606481481481481E-2</v>
      </c>
      <c r="L42" s="1" t="s">
        <v>122</v>
      </c>
      <c r="M42" s="1"/>
      <c r="N42" s="1">
        <v>200249406</v>
      </c>
      <c r="O42" s="1">
        <v>1</v>
      </c>
      <c r="P42" s="3" t="e">
        <f>VLOOKUP(Tabla3[[#This Row],[Entrega]],#REF!,4)</f>
        <v>#REF!</v>
      </c>
      <c r="Q42" s="2" t="e">
        <f>VLOOKUP(Tabla3[[#This Row],[Entrega]],#REF!,5)</f>
        <v>#REF!</v>
      </c>
      <c r="R42" s="2" t="e">
        <f>VLOOKUP(Tabla3[[#This Row],[Entrega]],#REF!,7)</f>
        <v>#REF!</v>
      </c>
      <c r="S42" s="2" t="e">
        <f>VLOOKUP(Tabla3[[#This Row],[Entrega]],#REF!,19)</f>
        <v>#REF!</v>
      </c>
      <c r="T42" s="3" t="e">
        <f>VLOOKUP(Tabla3[[#This Row],[Entrega]],#REF!,20)</f>
        <v>#REF!</v>
      </c>
    </row>
    <row r="43" spans="1:20" x14ac:dyDescent="0.2">
      <c r="A43" s="1">
        <v>194449</v>
      </c>
      <c r="B43" s="4">
        <v>44832</v>
      </c>
      <c r="C43" s="1" t="s">
        <v>91</v>
      </c>
      <c r="D43" s="5">
        <v>0.41763888888888889</v>
      </c>
      <c r="E43" s="5">
        <v>0.47030092592592593</v>
      </c>
      <c r="F43" s="5">
        <v>0.47197916666666667</v>
      </c>
      <c r="G43" s="1">
        <v>650000005</v>
      </c>
      <c r="H43" s="1" t="s">
        <v>44</v>
      </c>
      <c r="I43" s="1" t="s">
        <v>223</v>
      </c>
      <c r="J43" s="5">
        <v>5.2662037037037035E-2</v>
      </c>
      <c r="K43" s="5">
        <v>1.6782407407407406E-3</v>
      </c>
      <c r="L43" s="1" t="s">
        <v>224</v>
      </c>
      <c r="M43" s="1">
        <v>55331</v>
      </c>
      <c r="N43" s="1">
        <v>83324282</v>
      </c>
      <c r="O43" s="1">
        <v>1</v>
      </c>
      <c r="P43" s="3" t="e">
        <f>VLOOKUP(Tabla3[[#This Row],[Entrega]],#REF!,4)</f>
        <v>#REF!</v>
      </c>
      <c r="Q43" s="2" t="e">
        <f>VLOOKUP(Tabla3[[#This Row],[Entrega]],#REF!,5)</f>
        <v>#REF!</v>
      </c>
      <c r="R43" s="2" t="e">
        <f>VLOOKUP(Tabla3[[#This Row],[Entrega]],#REF!,7)</f>
        <v>#REF!</v>
      </c>
      <c r="S43" s="2" t="e">
        <f>VLOOKUP(Tabla3[[#This Row],[Entrega]],#REF!,19)</f>
        <v>#REF!</v>
      </c>
      <c r="T43" s="3" t="e">
        <f>VLOOKUP(Tabla3[[#This Row],[Entrega]],#REF!,20)</f>
        <v>#REF!</v>
      </c>
    </row>
    <row r="44" spans="1:20" x14ac:dyDescent="0.2">
      <c r="A44" s="1">
        <v>195097</v>
      </c>
      <c r="B44" s="4">
        <v>44835</v>
      </c>
      <c r="C44" s="1" t="s">
        <v>18</v>
      </c>
      <c r="D44" s="5">
        <v>0.34975694444444444</v>
      </c>
      <c r="E44" s="5">
        <v>0.35870370370370369</v>
      </c>
      <c r="F44" s="5">
        <v>0.38903935185185184</v>
      </c>
      <c r="G44" s="1">
        <v>800000306</v>
      </c>
      <c r="H44" s="1" t="s">
        <v>54</v>
      </c>
      <c r="I44" s="1" t="s">
        <v>145</v>
      </c>
      <c r="J44" s="5">
        <v>8.9467592592592585E-3</v>
      </c>
      <c r="K44" s="5">
        <v>3.0335648148148143E-2</v>
      </c>
      <c r="L44" s="1" t="s">
        <v>63</v>
      </c>
      <c r="M44" s="1">
        <v>127490</v>
      </c>
      <c r="N44" s="1">
        <v>200249405</v>
      </c>
      <c r="O44" s="1">
        <v>1</v>
      </c>
      <c r="P44" s="3" t="e">
        <f>VLOOKUP(Tabla3[[#This Row],[Entrega]],#REF!,4)</f>
        <v>#REF!</v>
      </c>
      <c r="Q44" s="2" t="e">
        <f>VLOOKUP(Tabla3[[#This Row],[Entrega]],#REF!,5)</f>
        <v>#REF!</v>
      </c>
      <c r="R44" s="2" t="e">
        <f>VLOOKUP(Tabla3[[#This Row],[Entrega]],#REF!,7)</f>
        <v>#REF!</v>
      </c>
      <c r="S44" s="2" t="e">
        <f>VLOOKUP(Tabla3[[#This Row],[Entrega]],#REF!,19)</f>
        <v>#REF!</v>
      </c>
      <c r="T44" s="3" t="e">
        <f>VLOOKUP(Tabla3[[#This Row],[Entrega]],#REF!,20)</f>
        <v>#REF!</v>
      </c>
    </row>
    <row r="45" spans="1:20" x14ac:dyDescent="0.2">
      <c r="A45" s="1">
        <v>195067</v>
      </c>
      <c r="B45" s="4">
        <v>44835</v>
      </c>
      <c r="C45" s="1" t="s">
        <v>18</v>
      </c>
      <c r="D45" s="5">
        <v>0.30009259259259258</v>
      </c>
      <c r="E45" s="5">
        <v>0.33560185185185182</v>
      </c>
      <c r="F45" s="5">
        <v>0.36151620370370369</v>
      </c>
      <c r="G45" s="1">
        <v>800000001</v>
      </c>
      <c r="H45" s="1" t="s">
        <v>21</v>
      </c>
      <c r="I45" s="1" t="s">
        <v>37</v>
      </c>
      <c r="J45" s="5">
        <v>3.5509259259259261E-2</v>
      </c>
      <c r="K45" s="5">
        <v>2.5914351851851855E-2</v>
      </c>
      <c r="L45" s="1" t="s">
        <v>73</v>
      </c>
      <c r="M45" s="1">
        <v>127489</v>
      </c>
      <c r="N45" s="1">
        <v>200249404</v>
      </c>
      <c r="O45" s="1">
        <v>1</v>
      </c>
      <c r="P45" s="3" t="e">
        <f>VLOOKUP(Tabla3[[#This Row],[Entrega]],#REF!,4)</f>
        <v>#REF!</v>
      </c>
      <c r="Q45" s="2" t="e">
        <f>VLOOKUP(Tabla3[[#This Row],[Entrega]],#REF!,5)</f>
        <v>#REF!</v>
      </c>
      <c r="R45" s="2" t="e">
        <f>VLOOKUP(Tabla3[[#This Row],[Entrega]],#REF!,7)</f>
        <v>#REF!</v>
      </c>
      <c r="S45" s="2" t="e">
        <f>VLOOKUP(Tabla3[[#This Row],[Entrega]],#REF!,19)</f>
        <v>#REF!</v>
      </c>
      <c r="T45" s="3" t="e">
        <f>VLOOKUP(Tabla3[[#This Row],[Entrega]],#REF!,20)</f>
        <v>#REF!</v>
      </c>
    </row>
    <row r="46" spans="1:20" x14ac:dyDescent="0.2">
      <c r="A46" s="1">
        <v>195066</v>
      </c>
      <c r="B46" s="4">
        <v>44835</v>
      </c>
      <c r="C46" s="1" t="s">
        <v>87</v>
      </c>
      <c r="D46" s="5">
        <v>0.30151620370370369</v>
      </c>
      <c r="E46" s="5">
        <v>0.33329861111111109</v>
      </c>
      <c r="F46" s="5">
        <v>0.34973379629629631</v>
      </c>
      <c r="G46" s="1">
        <v>800000891</v>
      </c>
      <c r="H46" s="1" t="s">
        <v>44</v>
      </c>
      <c r="I46" s="1" t="s">
        <v>46</v>
      </c>
      <c r="J46" s="5">
        <v>3.1782407407407405E-2</v>
      </c>
      <c r="K46" s="5">
        <v>1.6435185185185188E-2</v>
      </c>
      <c r="L46" s="1" t="s">
        <v>160</v>
      </c>
      <c r="M46" s="1"/>
      <c r="N46" s="1">
        <v>83324830</v>
      </c>
      <c r="O46" s="1">
        <v>1</v>
      </c>
      <c r="P46" s="3" t="e">
        <f>VLOOKUP(Tabla3[[#This Row],[Entrega]],#REF!,4)</f>
        <v>#REF!</v>
      </c>
      <c r="Q46" s="2" t="e">
        <f>VLOOKUP(Tabla3[[#This Row],[Entrega]],#REF!,5)</f>
        <v>#REF!</v>
      </c>
      <c r="R46" s="2" t="e">
        <f>VLOOKUP(Tabla3[[#This Row],[Entrega]],#REF!,7)</f>
        <v>#REF!</v>
      </c>
      <c r="S46" s="2" t="e">
        <f>VLOOKUP(Tabla3[[#This Row],[Entrega]],#REF!,19)</f>
        <v>#REF!</v>
      </c>
      <c r="T46" s="3" t="e">
        <f>VLOOKUP(Tabla3[[#This Row],[Entrega]],#REF!,20)</f>
        <v>#REF!</v>
      </c>
    </row>
    <row r="47" spans="1:20" x14ac:dyDescent="0.2">
      <c r="A47" s="1">
        <v>195065</v>
      </c>
      <c r="B47" s="4">
        <v>44835</v>
      </c>
      <c r="C47" s="1" t="s">
        <v>87</v>
      </c>
      <c r="D47" s="5">
        <v>0.30107638888888888</v>
      </c>
      <c r="E47" s="5">
        <v>0.32197916666666665</v>
      </c>
      <c r="F47" s="5">
        <v>0.34437500000000004</v>
      </c>
      <c r="G47" s="1">
        <v>800000891</v>
      </c>
      <c r="H47" s="1" t="s">
        <v>44</v>
      </c>
      <c r="I47" s="1" t="s">
        <v>88</v>
      </c>
      <c r="J47" s="5">
        <v>2.0902777777777781E-2</v>
      </c>
      <c r="K47" s="5">
        <v>2.2395833333333334E-2</v>
      </c>
      <c r="L47" s="1" t="s">
        <v>82</v>
      </c>
      <c r="M47" s="1">
        <v>55389</v>
      </c>
      <c r="N47" s="1">
        <v>83324816</v>
      </c>
      <c r="O47" s="1">
        <v>1</v>
      </c>
      <c r="P47" s="3" t="e">
        <f>VLOOKUP(Tabla3[[#This Row],[Entrega]],#REF!,4)</f>
        <v>#REF!</v>
      </c>
      <c r="Q47" s="2" t="e">
        <f>VLOOKUP(Tabla3[[#This Row],[Entrega]],#REF!,5)</f>
        <v>#REF!</v>
      </c>
      <c r="R47" s="2" t="e">
        <f>VLOOKUP(Tabla3[[#This Row],[Entrega]],#REF!,7)</f>
        <v>#REF!</v>
      </c>
      <c r="S47" s="2" t="e">
        <f>VLOOKUP(Tabla3[[#This Row],[Entrega]],#REF!,19)</f>
        <v>#REF!</v>
      </c>
      <c r="T47" s="3" t="e">
        <f>VLOOKUP(Tabla3[[#This Row],[Entrega]],#REF!,20)</f>
        <v>#REF!</v>
      </c>
    </row>
    <row r="48" spans="1:20" x14ac:dyDescent="0.2">
      <c r="A48" s="1">
        <v>194346</v>
      </c>
      <c r="B48" s="4">
        <v>44831</v>
      </c>
      <c r="C48" s="1" t="s">
        <v>91</v>
      </c>
      <c r="D48" s="5">
        <v>0.41479166666666667</v>
      </c>
      <c r="E48" s="5">
        <v>0.45461805555555551</v>
      </c>
      <c r="F48" s="5">
        <v>0.47651620370370368</v>
      </c>
      <c r="G48" s="1">
        <v>650000005</v>
      </c>
      <c r="H48" s="1" t="s">
        <v>44</v>
      </c>
      <c r="I48" s="1" t="s">
        <v>232</v>
      </c>
      <c r="J48" s="5">
        <v>3.982638888888889E-2</v>
      </c>
      <c r="K48" s="5">
        <v>2.1898148148148149E-2</v>
      </c>
      <c r="L48" s="1" t="s">
        <v>224</v>
      </c>
      <c r="M48" s="1">
        <v>55304</v>
      </c>
      <c r="N48" s="1">
        <v>83324128</v>
      </c>
      <c r="O48" s="1">
        <v>1</v>
      </c>
      <c r="P48" s="3" t="e">
        <f>VLOOKUP(Tabla3[[#This Row],[Entrega]],#REF!,4)</f>
        <v>#REF!</v>
      </c>
      <c r="Q48" s="2" t="e">
        <f>VLOOKUP(Tabla3[[#This Row],[Entrega]],#REF!,5)</f>
        <v>#REF!</v>
      </c>
      <c r="R48" s="2" t="e">
        <f>VLOOKUP(Tabla3[[#This Row],[Entrega]],#REF!,7)</f>
        <v>#REF!</v>
      </c>
      <c r="S48" s="2" t="e">
        <f>VLOOKUP(Tabla3[[#This Row],[Entrega]],#REF!,19)</f>
        <v>#REF!</v>
      </c>
      <c r="T48" s="3" t="e">
        <f>VLOOKUP(Tabla3[[#This Row],[Entrega]],#REF!,20)</f>
        <v>#REF!</v>
      </c>
    </row>
    <row r="49" spans="1:20" x14ac:dyDescent="0.2">
      <c r="A49" s="1">
        <v>195031</v>
      </c>
      <c r="B49" s="4">
        <v>44835</v>
      </c>
      <c r="C49" s="1" t="s">
        <v>18</v>
      </c>
      <c r="D49" s="5">
        <v>0.18388888888888888</v>
      </c>
      <c r="E49" s="5">
        <v>0.20211805555555554</v>
      </c>
      <c r="F49" s="5">
        <v>0.2295949074074074</v>
      </c>
      <c r="G49" s="1">
        <v>800000001</v>
      </c>
      <c r="H49" s="1" t="s">
        <v>21</v>
      </c>
      <c r="I49" s="1" t="s">
        <v>163</v>
      </c>
      <c r="J49" s="5">
        <v>1.8229166666666668E-2</v>
      </c>
      <c r="K49" s="5">
        <v>2.7476851851851853E-2</v>
      </c>
      <c r="L49" s="1" t="s">
        <v>164</v>
      </c>
      <c r="M49" s="1">
        <v>127488</v>
      </c>
      <c r="N49" s="1">
        <v>200249403</v>
      </c>
      <c r="O49" s="1">
        <v>1</v>
      </c>
      <c r="P49" s="3" t="e">
        <f>VLOOKUP(Tabla3[[#This Row],[Entrega]],#REF!,4)</f>
        <v>#REF!</v>
      </c>
      <c r="Q49" s="2" t="e">
        <f>VLOOKUP(Tabla3[[#This Row],[Entrega]],#REF!,5)</f>
        <v>#REF!</v>
      </c>
      <c r="R49" s="2" t="e">
        <f>VLOOKUP(Tabla3[[#This Row],[Entrega]],#REF!,7)</f>
        <v>#REF!</v>
      </c>
      <c r="S49" s="2" t="e">
        <f>VLOOKUP(Tabla3[[#This Row],[Entrega]],#REF!,19)</f>
        <v>#REF!</v>
      </c>
      <c r="T49" s="3" t="e">
        <f>VLOOKUP(Tabla3[[#This Row],[Entrega]],#REF!,20)</f>
        <v>#REF!</v>
      </c>
    </row>
    <row r="50" spans="1:20" x14ac:dyDescent="0.2">
      <c r="A50" s="1">
        <v>195004</v>
      </c>
      <c r="B50" s="4">
        <v>44835</v>
      </c>
      <c r="C50" s="1" t="s">
        <v>18</v>
      </c>
      <c r="D50" s="5">
        <v>0.16733796296296297</v>
      </c>
      <c r="E50" s="5">
        <v>0.18151620370370369</v>
      </c>
      <c r="F50" s="5">
        <v>0.20769675925925926</v>
      </c>
      <c r="G50" s="1">
        <v>800000001</v>
      </c>
      <c r="H50" s="1" t="s">
        <v>21</v>
      </c>
      <c r="I50" s="1" t="s">
        <v>41</v>
      </c>
      <c r="J50" s="5">
        <v>1.4178240740740741E-2</v>
      </c>
      <c r="K50" s="5">
        <v>2.6180555555555558E-2</v>
      </c>
      <c r="L50" s="1" t="s">
        <v>73</v>
      </c>
      <c r="M50" s="1">
        <v>127487</v>
      </c>
      <c r="N50" s="1">
        <v>200249402</v>
      </c>
      <c r="O50" s="1">
        <v>1</v>
      </c>
      <c r="P50" s="3" t="e">
        <f>VLOOKUP(Tabla3[[#This Row],[Entrega]],#REF!,4)</f>
        <v>#REF!</v>
      </c>
      <c r="Q50" s="2" t="e">
        <f>VLOOKUP(Tabla3[[#This Row],[Entrega]],#REF!,5)</f>
        <v>#REF!</v>
      </c>
      <c r="R50" s="2" t="e">
        <f>VLOOKUP(Tabla3[[#This Row],[Entrega]],#REF!,7)</f>
        <v>#REF!</v>
      </c>
      <c r="S50" s="2" t="e">
        <f>VLOOKUP(Tabla3[[#This Row],[Entrega]],#REF!,19)</f>
        <v>#REF!</v>
      </c>
      <c r="T50" s="3" t="e">
        <f>VLOOKUP(Tabla3[[#This Row],[Entrega]],#REF!,20)</f>
        <v>#REF!</v>
      </c>
    </row>
    <row r="51" spans="1:20" x14ac:dyDescent="0.2">
      <c r="A51" s="1">
        <v>195003</v>
      </c>
      <c r="B51" s="4">
        <v>44835</v>
      </c>
      <c r="C51" s="1" t="s">
        <v>18</v>
      </c>
      <c r="D51" s="5">
        <v>0.13074074074074074</v>
      </c>
      <c r="E51" s="5">
        <v>0.16641203703703702</v>
      </c>
      <c r="F51" s="5">
        <v>0.18932870370370369</v>
      </c>
      <c r="G51" s="1">
        <v>800000000</v>
      </c>
      <c r="H51" s="1" t="s">
        <v>20</v>
      </c>
      <c r="I51" s="1" t="s">
        <v>35</v>
      </c>
      <c r="J51" s="5">
        <v>3.5671296296296298E-2</v>
      </c>
      <c r="K51" s="5">
        <v>2.2916666666666669E-2</v>
      </c>
      <c r="L51" s="1" t="s">
        <v>31</v>
      </c>
      <c r="M51" s="1">
        <v>127486</v>
      </c>
      <c r="N51" s="1">
        <v>200249401</v>
      </c>
      <c r="O51" s="1">
        <v>1</v>
      </c>
      <c r="P51" s="3" t="e">
        <f>VLOOKUP(Tabla3[[#This Row],[Entrega]],#REF!,4)</f>
        <v>#REF!</v>
      </c>
      <c r="Q51" s="2" t="e">
        <f>VLOOKUP(Tabla3[[#This Row],[Entrega]],#REF!,5)</f>
        <v>#REF!</v>
      </c>
      <c r="R51" s="2" t="e">
        <f>VLOOKUP(Tabla3[[#This Row],[Entrega]],#REF!,7)</f>
        <v>#REF!</v>
      </c>
      <c r="S51" s="2" t="e">
        <f>VLOOKUP(Tabla3[[#This Row],[Entrega]],#REF!,19)</f>
        <v>#REF!</v>
      </c>
      <c r="T51" s="3" t="e">
        <f>VLOOKUP(Tabla3[[#This Row],[Entrega]],#REF!,20)</f>
        <v>#REF!</v>
      </c>
    </row>
    <row r="52" spans="1:20" x14ac:dyDescent="0.2">
      <c r="A52" s="1">
        <v>195002</v>
      </c>
      <c r="B52" s="4">
        <v>44835</v>
      </c>
      <c r="C52" s="1" t="s">
        <v>18</v>
      </c>
      <c r="D52" s="5">
        <v>0.12194444444444445</v>
      </c>
      <c r="E52" s="5">
        <v>0.13011574074074075</v>
      </c>
      <c r="F52" s="5">
        <v>0.17368055555555553</v>
      </c>
      <c r="G52" s="1">
        <v>800000000</v>
      </c>
      <c r="H52" s="1" t="s">
        <v>20</v>
      </c>
      <c r="I52" s="1" t="s">
        <v>92</v>
      </c>
      <c r="J52" s="5">
        <v>8.1712962962962963E-3</v>
      </c>
      <c r="K52" s="5">
        <v>4.3564814814814813E-2</v>
      </c>
      <c r="L52" s="1" t="s">
        <v>72</v>
      </c>
      <c r="M52" s="1">
        <v>127485</v>
      </c>
      <c r="N52" s="1">
        <v>200249400</v>
      </c>
      <c r="O52" s="1">
        <v>1</v>
      </c>
      <c r="P52" s="3" t="e">
        <f>VLOOKUP(Tabla3[[#This Row],[Entrega]],#REF!,4)</f>
        <v>#REF!</v>
      </c>
      <c r="Q52" s="2" t="e">
        <f>VLOOKUP(Tabla3[[#This Row],[Entrega]],#REF!,5)</f>
        <v>#REF!</v>
      </c>
      <c r="R52" s="2" t="e">
        <f>VLOOKUP(Tabla3[[#This Row],[Entrega]],#REF!,7)</f>
        <v>#REF!</v>
      </c>
      <c r="S52" s="2" t="e">
        <f>VLOOKUP(Tabla3[[#This Row],[Entrega]],#REF!,19)</f>
        <v>#REF!</v>
      </c>
      <c r="T52" s="3" t="e">
        <f>VLOOKUP(Tabla3[[#This Row],[Entrega]],#REF!,20)</f>
        <v>#REF!</v>
      </c>
    </row>
    <row r="53" spans="1:20" x14ac:dyDescent="0.2">
      <c r="A53" s="1">
        <v>195001</v>
      </c>
      <c r="B53" s="4">
        <v>44835</v>
      </c>
      <c r="C53" s="1" t="s">
        <v>18</v>
      </c>
      <c r="D53" s="5">
        <v>0.89637731481481486</v>
      </c>
      <c r="E53" s="5">
        <v>0.11708333333333333</v>
      </c>
      <c r="F53" s="5">
        <v>0.16819444444444445</v>
      </c>
      <c r="G53" s="1">
        <v>800000417</v>
      </c>
      <c r="H53" s="1" t="s">
        <v>28</v>
      </c>
      <c r="I53" s="1" t="s">
        <v>151</v>
      </c>
      <c r="J53" s="5">
        <v>0.22070601851851854</v>
      </c>
      <c r="K53" s="5">
        <v>5.1111111111111107E-2</v>
      </c>
      <c r="L53" s="1" t="s">
        <v>152</v>
      </c>
      <c r="M53" s="1">
        <v>127484</v>
      </c>
      <c r="N53" s="1">
        <v>200249398</v>
      </c>
      <c r="O53" s="1">
        <v>1</v>
      </c>
      <c r="P53" s="3" t="e">
        <f>VLOOKUP(Tabla3[[#This Row],[Entrega]],#REF!,4)</f>
        <v>#REF!</v>
      </c>
      <c r="Q53" s="2" t="e">
        <f>VLOOKUP(Tabla3[[#This Row],[Entrega]],#REF!,5)</f>
        <v>#REF!</v>
      </c>
      <c r="R53" s="2" t="e">
        <f>VLOOKUP(Tabla3[[#This Row],[Entrega]],#REF!,7)</f>
        <v>#REF!</v>
      </c>
      <c r="S53" s="2" t="e">
        <f>VLOOKUP(Tabla3[[#This Row],[Entrega]],#REF!,19)</f>
        <v>#REF!</v>
      </c>
      <c r="T53" s="3" t="e">
        <f>VLOOKUP(Tabla3[[#This Row],[Entrega]],#REF!,20)</f>
        <v>#REF!</v>
      </c>
    </row>
    <row r="54" spans="1:20" x14ac:dyDescent="0.2">
      <c r="A54" s="1">
        <v>195000</v>
      </c>
      <c r="B54" s="4">
        <v>44835</v>
      </c>
      <c r="C54" s="1" t="s">
        <v>16</v>
      </c>
      <c r="D54" s="5">
        <v>0.87696759259259249</v>
      </c>
      <c r="E54" s="5">
        <v>0.1108912037037037</v>
      </c>
      <c r="F54" s="5">
        <v>0.14438657407407407</v>
      </c>
      <c r="G54" s="1">
        <v>800000268</v>
      </c>
      <c r="H54" s="1" t="s">
        <v>24</v>
      </c>
      <c r="I54" s="1" t="s">
        <v>94</v>
      </c>
      <c r="J54" s="5">
        <v>0.23392361111111112</v>
      </c>
      <c r="K54" s="5">
        <v>3.349537037037037E-2</v>
      </c>
      <c r="L54" s="1" t="s">
        <v>95</v>
      </c>
      <c r="M54" s="1">
        <v>127483</v>
      </c>
      <c r="N54" s="1">
        <v>200249394</v>
      </c>
      <c r="O54" s="1">
        <v>1</v>
      </c>
      <c r="P54" s="3" t="e">
        <f>VLOOKUP(Tabla3[[#This Row],[Entrega]],#REF!,4)</f>
        <v>#REF!</v>
      </c>
      <c r="Q54" s="2" t="e">
        <f>VLOOKUP(Tabla3[[#This Row],[Entrega]],#REF!,5)</f>
        <v>#REF!</v>
      </c>
      <c r="R54" s="2" t="e">
        <f>VLOOKUP(Tabla3[[#This Row],[Entrega]],#REF!,7)</f>
        <v>#REF!</v>
      </c>
      <c r="S54" s="2" t="e">
        <f>VLOOKUP(Tabla3[[#This Row],[Entrega]],#REF!,19)</f>
        <v>#REF!</v>
      </c>
      <c r="T54" s="3" t="e">
        <f>VLOOKUP(Tabla3[[#This Row],[Entrega]],#REF!,20)</f>
        <v>#REF!</v>
      </c>
    </row>
    <row r="55" spans="1:20" x14ac:dyDescent="0.2">
      <c r="A55" s="1">
        <v>194999</v>
      </c>
      <c r="B55" s="4">
        <v>44835</v>
      </c>
      <c r="C55" s="1" t="s">
        <v>18</v>
      </c>
      <c r="D55" s="5">
        <v>0.98380787037037043</v>
      </c>
      <c r="E55" s="5">
        <v>3.8634259259259257E-2</v>
      </c>
      <c r="F55" s="5">
        <v>0.10949074074074074</v>
      </c>
      <c r="G55" s="1">
        <v>800000000</v>
      </c>
      <c r="H55" s="1" t="s">
        <v>20</v>
      </c>
      <c r="I55" s="1" t="s">
        <v>53</v>
      </c>
      <c r="J55" s="5">
        <v>5.482638888888889E-2</v>
      </c>
      <c r="K55" s="5">
        <v>7.0856481481481479E-2</v>
      </c>
      <c r="L55" s="1" t="s">
        <v>107</v>
      </c>
      <c r="M55" s="1">
        <v>127482</v>
      </c>
      <c r="N55" s="1">
        <v>200249397</v>
      </c>
      <c r="O55" s="1">
        <v>1</v>
      </c>
      <c r="P55" s="3" t="e">
        <f>VLOOKUP(Tabla3[[#This Row],[Entrega]],#REF!,4)</f>
        <v>#REF!</v>
      </c>
      <c r="Q55" s="2" t="e">
        <f>VLOOKUP(Tabla3[[#This Row],[Entrega]],#REF!,5)</f>
        <v>#REF!</v>
      </c>
      <c r="R55" s="2" t="e">
        <f>VLOOKUP(Tabla3[[#This Row],[Entrega]],#REF!,7)</f>
        <v>#REF!</v>
      </c>
      <c r="S55" s="2" t="e">
        <f>VLOOKUP(Tabla3[[#This Row],[Entrega]],#REF!,19)</f>
        <v>#REF!</v>
      </c>
      <c r="T55" s="3" t="e">
        <f>VLOOKUP(Tabla3[[#This Row],[Entrega]],#REF!,20)</f>
        <v>#REF!</v>
      </c>
    </row>
    <row r="56" spans="1:20" x14ac:dyDescent="0.2">
      <c r="A56" s="1">
        <v>194998</v>
      </c>
      <c r="B56" s="4">
        <v>44835</v>
      </c>
      <c r="C56" s="1" t="s">
        <v>18</v>
      </c>
      <c r="D56" s="5">
        <v>4.0567129629629627E-2</v>
      </c>
      <c r="E56" s="5">
        <v>5.8784722222222224E-2</v>
      </c>
      <c r="F56" s="5">
        <v>0.10445601851851853</v>
      </c>
      <c r="G56" s="1">
        <v>800000001</v>
      </c>
      <c r="H56" s="1" t="s">
        <v>21</v>
      </c>
      <c r="I56" s="1" t="s">
        <v>41</v>
      </c>
      <c r="J56" s="5">
        <v>1.8217592592592594E-2</v>
      </c>
      <c r="K56" s="5">
        <v>4.5671296296296293E-2</v>
      </c>
      <c r="L56" s="1" t="s">
        <v>73</v>
      </c>
      <c r="M56" s="1">
        <v>127481</v>
      </c>
      <c r="N56" s="1">
        <v>200249399</v>
      </c>
      <c r="O56" s="1">
        <v>1</v>
      </c>
      <c r="P56" s="3" t="e">
        <f>VLOOKUP(Tabla3[[#This Row],[Entrega]],#REF!,4)</f>
        <v>#REF!</v>
      </c>
      <c r="Q56" s="2" t="e">
        <f>VLOOKUP(Tabla3[[#This Row],[Entrega]],#REF!,5)</f>
        <v>#REF!</v>
      </c>
      <c r="R56" s="2" t="e">
        <f>VLOOKUP(Tabla3[[#This Row],[Entrega]],#REF!,7)</f>
        <v>#REF!</v>
      </c>
      <c r="S56" s="2" t="e">
        <f>VLOOKUP(Tabla3[[#This Row],[Entrega]],#REF!,19)</f>
        <v>#REF!</v>
      </c>
      <c r="T56" s="3" t="e">
        <f>VLOOKUP(Tabla3[[#This Row],[Entrega]],#REF!,20)</f>
        <v>#REF!</v>
      </c>
    </row>
    <row r="57" spans="1:20" x14ac:dyDescent="0.2">
      <c r="A57" s="1">
        <v>194968</v>
      </c>
      <c r="B57" s="4">
        <v>44835</v>
      </c>
      <c r="C57" s="1" t="s">
        <v>18</v>
      </c>
      <c r="D57" s="5">
        <v>0.88943287037037033</v>
      </c>
      <c r="E57" s="5">
        <v>9.1666666666666667E-3</v>
      </c>
      <c r="F57" s="5">
        <v>6.7083333333333328E-2</v>
      </c>
      <c r="G57" s="1">
        <v>800000305</v>
      </c>
      <c r="H57" s="1" t="s">
        <v>22</v>
      </c>
      <c r="I57" s="1" t="s">
        <v>62</v>
      </c>
      <c r="J57" s="5">
        <v>0.11973379629629628</v>
      </c>
      <c r="K57" s="5">
        <v>5.7916666666666665E-2</v>
      </c>
      <c r="L57" s="1" t="s">
        <v>63</v>
      </c>
      <c r="M57" s="1">
        <v>127480</v>
      </c>
      <c r="N57" s="1">
        <v>200249396</v>
      </c>
      <c r="O57" s="1">
        <v>1</v>
      </c>
      <c r="P57" s="3" t="e">
        <f>VLOOKUP(Tabla3[[#This Row],[Entrega]],#REF!,4)</f>
        <v>#REF!</v>
      </c>
      <c r="Q57" s="2" t="e">
        <f>VLOOKUP(Tabla3[[#This Row],[Entrega]],#REF!,5)</f>
        <v>#REF!</v>
      </c>
      <c r="R57" s="2" t="e">
        <f>VLOOKUP(Tabla3[[#This Row],[Entrega]],#REF!,7)</f>
        <v>#REF!</v>
      </c>
      <c r="S57" s="2" t="e">
        <f>VLOOKUP(Tabla3[[#This Row],[Entrega]],#REF!,19)</f>
        <v>#REF!</v>
      </c>
      <c r="T57" s="3" t="e">
        <f>VLOOKUP(Tabla3[[#This Row],[Entrega]],#REF!,20)</f>
        <v>#REF!</v>
      </c>
    </row>
    <row r="58" spans="1:20" x14ac:dyDescent="0.2">
      <c r="A58" s="1">
        <v>194967</v>
      </c>
      <c r="B58" s="4">
        <v>44835</v>
      </c>
      <c r="C58" s="1" t="s">
        <v>18</v>
      </c>
      <c r="D58" s="5">
        <v>0.88307870370370367</v>
      </c>
      <c r="E58" s="5">
        <v>5.37037037037037E-3</v>
      </c>
      <c r="F58" s="5">
        <v>4.3831018518518512E-2</v>
      </c>
      <c r="G58" s="1">
        <v>800000000</v>
      </c>
      <c r="H58" s="1" t="s">
        <v>20</v>
      </c>
      <c r="I58" s="1" t="s">
        <v>108</v>
      </c>
      <c r="J58" s="5">
        <v>0.12229166666666667</v>
      </c>
      <c r="K58" s="5">
        <v>3.8460648148148147E-2</v>
      </c>
      <c r="L58" s="1" t="s">
        <v>109</v>
      </c>
      <c r="M58" s="1">
        <v>127479</v>
      </c>
      <c r="N58" s="1">
        <v>200249395</v>
      </c>
      <c r="O58" s="1">
        <v>1</v>
      </c>
      <c r="P58" s="3" t="e">
        <f>VLOOKUP(Tabla3[[#This Row],[Entrega]],#REF!,4)</f>
        <v>#REF!</v>
      </c>
      <c r="Q58" s="2" t="e">
        <f>VLOOKUP(Tabla3[[#This Row],[Entrega]],#REF!,5)</f>
        <v>#REF!</v>
      </c>
      <c r="R58" s="2" t="e">
        <f>VLOOKUP(Tabla3[[#This Row],[Entrega]],#REF!,7)</f>
        <v>#REF!</v>
      </c>
      <c r="S58" s="2" t="e">
        <f>VLOOKUP(Tabla3[[#This Row],[Entrega]],#REF!,19)</f>
        <v>#REF!</v>
      </c>
      <c r="T58" s="3" t="e">
        <f>VLOOKUP(Tabla3[[#This Row],[Entrega]],#REF!,20)</f>
        <v>#REF!</v>
      </c>
    </row>
    <row r="59" spans="1:20" x14ac:dyDescent="0.2">
      <c r="A59" s="1">
        <v>194966</v>
      </c>
      <c r="B59" s="4">
        <v>44835</v>
      </c>
      <c r="C59" s="1" t="s">
        <v>18</v>
      </c>
      <c r="D59" s="5">
        <v>0.81495370370370368</v>
      </c>
      <c r="E59" s="5">
        <v>0.94576388888888896</v>
      </c>
      <c r="F59" s="5">
        <v>2.5335648148148149E-2</v>
      </c>
      <c r="G59" s="1">
        <v>800000440</v>
      </c>
      <c r="H59" s="1" t="s">
        <v>50</v>
      </c>
      <c r="I59" s="1" t="s">
        <v>165</v>
      </c>
      <c r="J59" s="5">
        <v>0.1308101851851852</v>
      </c>
      <c r="K59" s="5">
        <v>7.9571759259259259E-2</v>
      </c>
      <c r="L59" s="1" t="s">
        <v>166</v>
      </c>
      <c r="M59" s="1">
        <v>127478</v>
      </c>
      <c r="N59" s="1">
        <v>200249392</v>
      </c>
      <c r="O59" s="1">
        <v>1</v>
      </c>
      <c r="P59" s="3" t="e">
        <f>VLOOKUP(Tabla3[[#This Row],[Entrega]],#REF!,4)</f>
        <v>#REF!</v>
      </c>
      <c r="Q59" s="2" t="e">
        <f>VLOOKUP(Tabla3[[#This Row],[Entrega]],#REF!,5)</f>
        <v>#REF!</v>
      </c>
      <c r="R59" s="2" t="e">
        <f>VLOOKUP(Tabla3[[#This Row],[Entrega]],#REF!,7)</f>
        <v>#REF!</v>
      </c>
      <c r="S59" s="2" t="e">
        <f>VLOOKUP(Tabla3[[#This Row],[Entrega]],#REF!,19)</f>
        <v>#REF!</v>
      </c>
      <c r="T59" s="3" t="e">
        <f>VLOOKUP(Tabla3[[#This Row],[Entrega]],#REF!,20)</f>
        <v>#REF!</v>
      </c>
    </row>
    <row r="60" spans="1:20" x14ac:dyDescent="0.2">
      <c r="A60" s="1">
        <v>194965</v>
      </c>
      <c r="B60" s="4">
        <v>44835</v>
      </c>
      <c r="C60" s="1" t="s">
        <v>18</v>
      </c>
      <c r="D60" s="5">
        <v>0.85170138888888891</v>
      </c>
      <c r="E60" s="5">
        <v>0.97761574074074076</v>
      </c>
      <c r="F60" s="5">
        <v>8.0555555555555554E-3</v>
      </c>
      <c r="G60" s="1">
        <v>800000003</v>
      </c>
      <c r="H60" s="1" t="s">
        <v>33</v>
      </c>
      <c r="I60" s="1" t="s">
        <v>167</v>
      </c>
      <c r="J60" s="5">
        <v>0.12591435185185185</v>
      </c>
      <c r="K60" s="5">
        <v>3.0439814814814819E-2</v>
      </c>
      <c r="L60" s="1" t="s">
        <v>168</v>
      </c>
      <c r="M60" s="1">
        <v>127477</v>
      </c>
      <c r="N60" s="1">
        <v>200249393</v>
      </c>
      <c r="O60" s="1">
        <v>1</v>
      </c>
      <c r="P60" s="3" t="e">
        <f>VLOOKUP(Tabla3[[#This Row],[Entrega]],#REF!,4)</f>
        <v>#REF!</v>
      </c>
      <c r="Q60" s="2" t="e">
        <f>VLOOKUP(Tabla3[[#This Row],[Entrega]],#REF!,5)</f>
        <v>#REF!</v>
      </c>
      <c r="R60" s="2" t="e">
        <f>VLOOKUP(Tabla3[[#This Row],[Entrega]],#REF!,7)</f>
        <v>#REF!</v>
      </c>
      <c r="S60" s="2" t="e">
        <f>VLOOKUP(Tabla3[[#This Row],[Entrega]],#REF!,19)</f>
        <v>#REF!</v>
      </c>
      <c r="T60" s="3" t="e">
        <f>VLOOKUP(Tabla3[[#This Row],[Entrega]],#REF!,20)</f>
        <v>#REF!</v>
      </c>
    </row>
    <row r="61" spans="1:20" x14ac:dyDescent="0.2">
      <c r="A61" s="1">
        <v>194934</v>
      </c>
      <c r="B61" s="4">
        <v>44834</v>
      </c>
      <c r="C61" s="1" t="s">
        <v>18</v>
      </c>
      <c r="D61" s="5">
        <v>0.8416203703703703</v>
      </c>
      <c r="E61" s="5">
        <v>0.94861111111111107</v>
      </c>
      <c r="F61" s="5">
        <v>0.97800925925925919</v>
      </c>
      <c r="G61" s="1">
        <v>800000001</v>
      </c>
      <c r="H61" s="1" t="s">
        <v>21</v>
      </c>
      <c r="I61" s="1" t="s">
        <v>41</v>
      </c>
      <c r="J61" s="5">
        <v>0.10699074074074073</v>
      </c>
      <c r="K61" s="5">
        <v>2.9398148148148149E-2</v>
      </c>
      <c r="L61" s="1" t="s">
        <v>73</v>
      </c>
      <c r="M61" s="1">
        <v>127476</v>
      </c>
      <c r="N61" s="1">
        <v>200249391</v>
      </c>
      <c r="O61" s="1">
        <v>1</v>
      </c>
      <c r="P61" s="3" t="e">
        <f>VLOOKUP(Tabla3[[#This Row],[Entrega]],#REF!,4)</f>
        <v>#REF!</v>
      </c>
      <c r="Q61" s="2" t="e">
        <f>VLOOKUP(Tabla3[[#This Row],[Entrega]],#REF!,5)</f>
        <v>#REF!</v>
      </c>
      <c r="R61" s="2" t="e">
        <f>VLOOKUP(Tabla3[[#This Row],[Entrega]],#REF!,7)</f>
        <v>#REF!</v>
      </c>
      <c r="S61" s="2" t="e">
        <f>VLOOKUP(Tabla3[[#This Row],[Entrega]],#REF!,19)</f>
        <v>#REF!</v>
      </c>
      <c r="T61" s="3" t="e">
        <f>VLOOKUP(Tabla3[[#This Row],[Entrega]],#REF!,20)</f>
        <v>#REF!</v>
      </c>
    </row>
    <row r="62" spans="1:20" x14ac:dyDescent="0.2">
      <c r="A62" s="1">
        <v>194933</v>
      </c>
      <c r="B62" s="4">
        <v>44834</v>
      </c>
      <c r="C62" s="1" t="s">
        <v>16</v>
      </c>
      <c r="D62" s="5">
        <v>0.81472222222222224</v>
      </c>
      <c r="E62" s="5">
        <v>0.9105671296296296</v>
      </c>
      <c r="F62" s="5">
        <v>0.96422453703703714</v>
      </c>
      <c r="G62" s="1">
        <v>800000268</v>
      </c>
      <c r="H62" s="1" t="s">
        <v>24</v>
      </c>
      <c r="I62" s="1" t="s">
        <v>77</v>
      </c>
      <c r="J62" s="5">
        <v>9.5844907407407406E-2</v>
      </c>
      <c r="K62" s="5">
        <v>5.3657407407407404E-2</v>
      </c>
      <c r="L62" s="1" t="s">
        <v>169</v>
      </c>
      <c r="M62" s="1">
        <v>127475</v>
      </c>
      <c r="N62" s="1">
        <v>200249389</v>
      </c>
      <c r="O62" s="1">
        <v>1</v>
      </c>
      <c r="P62" s="3" t="e">
        <f>VLOOKUP(Tabla3[[#This Row],[Entrega]],#REF!,4)</f>
        <v>#REF!</v>
      </c>
      <c r="Q62" s="2" t="e">
        <f>VLOOKUP(Tabla3[[#This Row],[Entrega]],#REF!,5)</f>
        <v>#REF!</v>
      </c>
      <c r="R62" s="2" t="e">
        <f>VLOOKUP(Tabla3[[#This Row],[Entrega]],#REF!,7)</f>
        <v>#REF!</v>
      </c>
      <c r="S62" s="2" t="e">
        <f>VLOOKUP(Tabla3[[#This Row],[Entrega]],#REF!,19)</f>
        <v>#REF!</v>
      </c>
      <c r="T62" s="3" t="e">
        <f>VLOOKUP(Tabla3[[#This Row],[Entrega]],#REF!,20)</f>
        <v>#REF!</v>
      </c>
    </row>
    <row r="63" spans="1:20" x14ac:dyDescent="0.2">
      <c r="A63" s="1">
        <v>194932</v>
      </c>
      <c r="B63" s="4">
        <v>44834</v>
      </c>
      <c r="C63" s="1" t="s">
        <v>16</v>
      </c>
      <c r="D63" s="5">
        <v>0.79751157407407414</v>
      </c>
      <c r="E63" s="5">
        <v>0.88962962962962966</v>
      </c>
      <c r="F63" s="5">
        <v>0.95896990740740751</v>
      </c>
      <c r="G63" s="1">
        <v>800000268</v>
      </c>
      <c r="H63" s="1" t="s">
        <v>24</v>
      </c>
      <c r="I63" s="1" t="s">
        <v>68</v>
      </c>
      <c r="J63" s="5">
        <v>9.2118055555555564E-2</v>
      </c>
      <c r="K63" s="5">
        <v>6.9340277777777778E-2</v>
      </c>
      <c r="L63" s="1" t="s">
        <v>170</v>
      </c>
      <c r="M63" s="1">
        <v>127474</v>
      </c>
      <c r="N63" s="1">
        <v>200249388</v>
      </c>
      <c r="O63" s="1">
        <v>1</v>
      </c>
      <c r="P63" s="3" t="e">
        <f>VLOOKUP(Tabla3[[#This Row],[Entrega]],#REF!,4)</f>
        <v>#REF!</v>
      </c>
      <c r="Q63" s="2" t="e">
        <f>VLOOKUP(Tabla3[[#This Row],[Entrega]],#REF!,5)</f>
        <v>#REF!</v>
      </c>
      <c r="R63" s="2" t="e">
        <f>VLOOKUP(Tabla3[[#This Row],[Entrega]],#REF!,7)</f>
        <v>#REF!</v>
      </c>
      <c r="S63" s="2" t="e">
        <f>VLOOKUP(Tabla3[[#This Row],[Entrega]],#REF!,19)</f>
        <v>#REF!</v>
      </c>
      <c r="T63" s="3" t="e">
        <f>VLOOKUP(Tabla3[[#This Row],[Entrega]],#REF!,20)</f>
        <v>#REF!</v>
      </c>
    </row>
    <row r="64" spans="1:20" x14ac:dyDescent="0.2">
      <c r="A64" s="1">
        <v>194904</v>
      </c>
      <c r="B64" s="4">
        <v>44834</v>
      </c>
      <c r="C64" s="1" t="s">
        <v>16</v>
      </c>
      <c r="D64" s="5">
        <v>0.79167824074074078</v>
      </c>
      <c r="E64" s="5">
        <v>0.84664351851851849</v>
      </c>
      <c r="F64" s="5">
        <v>0.92232638888888896</v>
      </c>
      <c r="G64" s="1">
        <v>800000268</v>
      </c>
      <c r="H64" s="1" t="s">
        <v>24</v>
      </c>
      <c r="I64" s="1" t="s">
        <v>135</v>
      </c>
      <c r="J64" s="5">
        <v>5.4965277777777773E-2</v>
      </c>
      <c r="K64" s="5">
        <v>7.5682870370370373E-2</v>
      </c>
      <c r="L64" s="1" t="s">
        <v>171</v>
      </c>
      <c r="M64" s="1">
        <v>127473</v>
      </c>
      <c r="N64" s="1">
        <v>200249387</v>
      </c>
      <c r="O64" s="1">
        <v>1</v>
      </c>
      <c r="P64" s="3" t="e">
        <f>VLOOKUP(Tabla3[[#This Row],[Entrega]],#REF!,4)</f>
        <v>#REF!</v>
      </c>
      <c r="Q64" s="2" t="e">
        <f>VLOOKUP(Tabla3[[#This Row],[Entrega]],#REF!,5)</f>
        <v>#REF!</v>
      </c>
      <c r="R64" s="2" t="e">
        <f>VLOOKUP(Tabla3[[#This Row],[Entrega]],#REF!,7)</f>
        <v>#REF!</v>
      </c>
      <c r="S64" s="2" t="e">
        <f>VLOOKUP(Tabla3[[#This Row],[Entrega]],#REF!,19)</f>
        <v>#REF!</v>
      </c>
      <c r="T64" s="3" t="e">
        <f>VLOOKUP(Tabla3[[#This Row],[Entrega]],#REF!,20)</f>
        <v>#REF!</v>
      </c>
    </row>
    <row r="65" spans="1:20" x14ac:dyDescent="0.2">
      <c r="A65" s="1">
        <v>194903</v>
      </c>
      <c r="B65" s="4">
        <v>44834</v>
      </c>
      <c r="C65" s="1" t="s">
        <v>16</v>
      </c>
      <c r="D65" s="5">
        <v>0.81456018518518514</v>
      </c>
      <c r="E65" s="5">
        <v>0.85303240740740749</v>
      </c>
      <c r="F65" s="5">
        <v>0.9070717592592592</v>
      </c>
      <c r="G65" s="1">
        <v>800000268</v>
      </c>
      <c r="H65" s="1" t="s">
        <v>24</v>
      </c>
      <c r="I65" s="1" t="s">
        <v>172</v>
      </c>
      <c r="J65" s="5">
        <v>3.847222222222222E-2</v>
      </c>
      <c r="K65" s="5">
        <v>5.4039351851851852E-2</v>
      </c>
      <c r="L65" s="1" t="s">
        <v>173</v>
      </c>
      <c r="M65" s="1">
        <v>127472</v>
      </c>
      <c r="N65" s="1">
        <v>200249390</v>
      </c>
      <c r="O65" s="1">
        <v>1</v>
      </c>
      <c r="P65" s="3" t="e">
        <f>VLOOKUP(Tabla3[[#This Row],[Entrega]],#REF!,4)</f>
        <v>#REF!</v>
      </c>
      <c r="Q65" s="2" t="e">
        <f>VLOOKUP(Tabla3[[#This Row],[Entrega]],#REF!,5)</f>
        <v>#REF!</v>
      </c>
      <c r="R65" s="2" t="e">
        <f>VLOOKUP(Tabla3[[#This Row],[Entrega]],#REF!,7)</f>
        <v>#REF!</v>
      </c>
      <c r="S65" s="2" t="e">
        <f>VLOOKUP(Tabla3[[#This Row],[Entrega]],#REF!,19)</f>
        <v>#REF!</v>
      </c>
      <c r="T65" s="3" t="e">
        <f>VLOOKUP(Tabla3[[#This Row],[Entrega]],#REF!,20)</f>
        <v>#REF!</v>
      </c>
    </row>
    <row r="66" spans="1:20" x14ac:dyDescent="0.2">
      <c r="A66" s="1">
        <v>194902</v>
      </c>
      <c r="B66" s="4">
        <v>44834</v>
      </c>
      <c r="C66" s="1" t="s">
        <v>16</v>
      </c>
      <c r="D66" s="5">
        <v>0.78553240740740737</v>
      </c>
      <c r="E66" s="5">
        <v>0.81363425925925925</v>
      </c>
      <c r="F66" s="5">
        <v>0.86614583333333339</v>
      </c>
      <c r="G66" s="1">
        <v>800000670</v>
      </c>
      <c r="H66" s="1" t="s">
        <v>44</v>
      </c>
      <c r="I66" s="1" t="s">
        <v>34</v>
      </c>
      <c r="J66" s="5">
        <v>2.8101851851851854E-2</v>
      </c>
      <c r="K66" s="5">
        <v>5.2511574074074079E-2</v>
      </c>
      <c r="L66" s="1" t="s">
        <v>47</v>
      </c>
      <c r="M66" s="1">
        <v>55386</v>
      </c>
      <c r="N66" s="1">
        <v>83324699</v>
      </c>
      <c r="O66" s="1">
        <v>1</v>
      </c>
      <c r="P66" s="3" t="e">
        <f>VLOOKUP(Tabla3[[#This Row],[Entrega]],#REF!,4)</f>
        <v>#REF!</v>
      </c>
      <c r="Q66" s="2" t="e">
        <f>VLOOKUP(Tabla3[[#This Row],[Entrega]],#REF!,5)</f>
        <v>#REF!</v>
      </c>
      <c r="R66" s="2" t="e">
        <f>VLOOKUP(Tabla3[[#This Row],[Entrega]],#REF!,7)</f>
        <v>#REF!</v>
      </c>
      <c r="S66" s="2" t="e">
        <f>VLOOKUP(Tabla3[[#This Row],[Entrega]],#REF!,19)</f>
        <v>#REF!</v>
      </c>
      <c r="T66" s="3" t="e">
        <f>VLOOKUP(Tabla3[[#This Row],[Entrega]],#REF!,20)</f>
        <v>#REF!</v>
      </c>
    </row>
    <row r="67" spans="1:20" x14ac:dyDescent="0.2">
      <c r="A67" s="1">
        <v>194901</v>
      </c>
      <c r="B67" s="4">
        <v>44834</v>
      </c>
      <c r="C67" s="1" t="s">
        <v>16</v>
      </c>
      <c r="D67" s="5">
        <v>0.75688657407407411</v>
      </c>
      <c r="E67" s="5">
        <v>0.81186342592592586</v>
      </c>
      <c r="F67" s="5">
        <v>0.85670138888888892</v>
      </c>
      <c r="G67" s="1">
        <v>800000266</v>
      </c>
      <c r="H67" s="1" t="s">
        <v>25</v>
      </c>
      <c r="I67" s="1" t="s">
        <v>123</v>
      </c>
      <c r="J67" s="5">
        <v>5.4976851851851853E-2</v>
      </c>
      <c r="K67" s="5">
        <v>4.4837962962962961E-2</v>
      </c>
      <c r="L67" s="1" t="s">
        <v>131</v>
      </c>
      <c r="M67" s="1">
        <v>127471</v>
      </c>
      <c r="N67" s="1">
        <v>200249386</v>
      </c>
      <c r="O67" s="1">
        <v>1</v>
      </c>
      <c r="P67" s="3" t="e">
        <f>VLOOKUP(Tabla3[[#This Row],[Entrega]],#REF!,4)</f>
        <v>#REF!</v>
      </c>
      <c r="Q67" s="2" t="e">
        <f>VLOOKUP(Tabla3[[#This Row],[Entrega]],#REF!,5)</f>
        <v>#REF!</v>
      </c>
      <c r="R67" s="2" t="e">
        <f>VLOOKUP(Tabla3[[#This Row],[Entrega]],#REF!,7)</f>
        <v>#REF!</v>
      </c>
      <c r="S67" s="2" t="e">
        <f>VLOOKUP(Tabla3[[#This Row],[Entrega]],#REF!,19)</f>
        <v>#REF!</v>
      </c>
      <c r="T67" s="3" t="e">
        <f>VLOOKUP(Tabla3[[#This Row],[Entrega]],#REF!,20)</f>
        <v>#REF!</v>
      </c>
    </row>
    <row r="68" spans="1:20" x14ac:dyDescent="0.2">
      <c r="A68" s="1">
        <v>194767</v>
      </c>
      <c r="B68" s="4">
        <v>44834</v>
      </c>
      <c r="C68" s="1" t="s">
        <v>16</v>
      </c>
      <c r="D68" s="5">
        <v>8.2407407407407415E-2</v>
      </c>
      <c r="E68" s="5">
        <v>0.20275462962962965</v>
      </c>
      <c r="F68" s="5">
        <v>0.23685185185185187</v>
      </c>
      <c r="G68" s="1">
        <v>800000670</v>
      </c>
      <c r="H68" s="1" t="s">
        <v>44</v>
      </c>
      <c r="I68" s="1" t="s">
        <v>34</v>
      </c>
      <c r="J68" s="5">
        <v>0.12034722222222222</v>
      </c>
      <c r="K68" s="5">
        <v>3.4097222222222223E-2</v>
      </c>
      <c r="L68" s="1" t="s">
        <v>47</v>
      </c>
      <c r="M68" s="1">
        <v>55365</v>
      </c>
      <c r="N68" s="1">
        <v>83324597</v>
      </c>
      <c r="O68" s="1">
        <v>1</v>
      </c>
      <c r="P68" s="3" t="e">
        <f>VLOOKUP(Tabla3[[#This Row],[Entrega]],#REF!,4)</f>
        <v>#REF!</v>
      </c>
      <c r="Q68" s="2" t="e">
        <f>VLOOKUP(Tabla3[[#This Row],[Entrega]],#REF!,5)</f>
        <v>#REF!</v>
      </c>
      <c r="R68" s="2" t="e">
        <f>VLOOKUP(Tabla3[[#This Row],[Entrega]],#REF!,7)</f>
        <v>#REF!</v>
      </c>
      <c r="S68" s="2" t="e">
        <f>VLOOKUP(Tabla3[[#This Row],[Entrega]],#REF!,19)</f>
        <v>#REF!</v>
      </c>
      <c r="T68" s="3" t="e">
        <f>VLOOKUP(Tabla3[[#This Row],[Entrega]],#REF!,20)</f>
        <v>#REF!</v>
      </c>
    </row>
    <row r="69" spans="1:20" x14ac:dyDescent="0.2">
      <c r="A69" s="1">
        <v>194899</v>
      </c>
      <c r="B69" s="4">
        <v>44834</v>
      </c>
      <c r="C69" s="1" t="s">
        <v>16</v>
      </c>
      <c r="D69" s="5">
        <v>0.70788194444444441</v>
      </c>
      <c r="E69" s="5">
        <v>0.71649305555555554</v>
      </c>
      <c r="F69" s="5">
        <v>0.75663194444444448</v>
      </c>
      <c r="G69" s="1">
        <v>800000269</v>
      </c>
      <c r="H69" s="1" t="s">
        <v>36</v>
      </c>
      <c r="I69" s="1" t="s">
        <v>111</v>
      </c>
      <c r="J69" s="5">
        <v>8.611111111111111E-3</v>
      </c>
      <c r="K69" s="5">
        <v>4.0138888888888884E-2</v>
      </c>
      <c r="L69" s="1" t="s">
        <v>112</v>
      </c>
      <c r="M69" s="1">
        <v>127470</v>
      </c>
      <c r="N69" s="1">
        <v>200249384</v>
      </c>
      <c r="O69" s="1">
        <v>1</v>
      </c>
      <c r="P69" s="3" t="e">
        <f>VLOOKUP(Tabla3[[#This Row],[Entrega]],#REF!,4)</f>
        <v>#REF!</v>
      </c>
      <c r="Q69" s="2" t="e">
        <f>VLOOKUP(Tabla3[[#This Row],[Entrega]],#REF!,5)</f>
        <v>#REF!</v>
      </c>
      <c r="R69" s="2" t="e">
        <f>VLOOKUP(Tabla3[[#This Row],[Entrega]],#REF!,7)</f>
        <v>#REF!</v>
      </c>
      <c r="S69" s="2" t="e">
        <f>VLOOKUP(Tabla3[[#This Row],[Entrega]],#REF!,19)</f>
        <v>#REF!</v>
      </c>
      <c r="T69" s="3" t="e">
        <f>VLOOKUP(Tabla3[[#This Row],[Entrega]],#REF!,20)</f>
        <v>#REF!</v>
      </c>
    </row>
    <row r="70" spans="1:20" x14ac:dyDescent="0.2">
      <c r="A70" s="1">
        <v>194875</v>
      </c>
      <c r="B70" s="4">
        <v>44834</v>
      </c>
      <c r="C70" s="1" t="s">
        <v>87</v>
      </c>
      <c r="D70" s="5">
        <v>0.61761574074074077</v>
      </c>
      <c r="E70" s="5">
        <v>0.6346180555555555</v>
      </c>
      <c r="F70" s="5">
        <v>0.65579861111111104</v>
      </c>
      <c r="G70" s="1">
        <v>800000891</v>
      </c>
      <c r="H70" s="1" t="s">
        <v>44</v>
      </c>
      <c r="I70" s="1" t="s">
        <v>45</v>
      </c>
      <c r="J70" s="5">
        <v>1.7002314814814814E-2</v>
      </c>
      <c r="K70" s="5">
        <v>2.1180555555555553E-2</v>
      </c>
      <c r="L70" s="1" t="s">
        <v>160</v>
      </c>
      <c r="M70" s="1">
        <v>55381</v>
      </c>
      <c r="N70" s="1">
        <v>83324668</v>
      </c>
      <c r="O70" s="1">
        <v>1</v>
      </c>
      <c r="P70" s="3" t="e">
        <f>VLOOKUP(Tabla3[[#This Row],[Entrega]],#REF!,4)</f>
        <v>#REF!</v>
      </c>
      <c r="Q70" s="2" t="e">
        <f>VLOOKUP(Tabla3[[#This Row],[Entrega]],#REF!,5)</f>
        <v>#REF!</v>
      </c>
      <c r="R70" s="2" t="e">
        <f>VLOOKUP(Tabla3[[#This Row],[Entrega]],#REF!,7)</f>
        <v>#REF!</v>
      </c>
      <c r="S70" s="2" t="e">
        <f>VLOOKUP(Tabla3[[#This Row],[Entrega]],#REF!,19)</f>
        <v>#REF!</v>
      </c>
      <c r="T70" s="3" t="e">
        <f>VLOOKUP(Tabla3[[#This Row],[Entrega]],#REF!,20)</f>
        <v>#REF!</v>
      </c>
    </row>
    <row r="71" spans="1:20" x14ac:dyDescent="0.2">
      <c r="A71" s="1">
        <v>194874</v>
      </c>
      <c r="B71" s="4">
        <v>44834</v>
      </c>
      <c r="C71" s="1" t="s">
        <v>87</v>
      </c>
      <c r="D71" s="5">
        <v>0.57914351851851853</v>
      </c>
      <c r="E71" s="5">
        <v>0.60024305555555557</v>
      </c>
      <c r="F71" s="5">
        <v>0.61206018518518512</v>
      </c>
      <c r="G71" s="1">
        <v>800000891</v>
      </c>
      <c r="H71" s="1" t="s">
        <v>44</v>
      </c>
      <c r="I71" s="1" t="s">
        <v>67</v>
      </c>
      <c r="J71" s="5">
        <v>2.1099537037037038E-2</v>
      </c>
      <c r="K71" s="5">
        <v>1.1817129629629629E-2</v>
      </c>
      <c r="L71" s="1" t="s">
        <v>98</v>
      </c>
      <c r="M71" s="1">
        <v>55378</v>
      </c>
      <c r="N71" s="1">
        <v>83324657</v>
      </c>
      <c r="O71" s="1">
        <v>1</v>
      </c>
      <c r="P71" s="3" t="e">
        <f>VLOOKUP(Tabla3[[#This Row],[Entrega]],#REF!,4)</f>
        <v>#REF!</v>
      </c>
      <c r="Q71" s="2" t="e">
        <f>VLOOKUP(Tabla3[[#This Row],[Entrega]],#REF!,5)</f>
        <v>#REF!</v>
      </c>
      <c r="R71" s="2" t="e">
        <f>VLOOKUP(Tabla3[[#This Row],[Entrega]],#REF!,7)</f>
        <v>#REF!</v>
      </c>
      <c r="S71" s="2" t="e">
        <f>VLOOKUP(Tabla3[[#This Row],[Entrega]],#REF!,19)</f>
        <v>#REF!</v>
      </c>
      <c r="T71" s="3" t="e">
        <f>VLOOKUP(Tabla3[[#This Row],[Entrega]],#REF!,20)</f>
        <v>#REF!</v>
      </c>
    </row>
    <row r="72" spans="1:20" x14ac:dyDescent="0.2">
      <c r="A72" s="1">
        <v>194873</v>
      </c>
      <c r="B72" s="4">
        <v>44834</v>
      </c>
      <c r="C72" s="1" t="s">
        <v>87</v>
      </c>
      <c r="D72" s="5">
        <v>0.52033564814814814</v>
      </c>
      <c r="E72" s="5">
        <v>0.57487268518518519</v>
      </c>
      <c r="F72" s="5">
        <v>0.58461805555555557</v>
      </c>
      <c r="G72" s="1">
        <v>800000891</v>
      </c>
      <c r="H72" s="1" t="s">
        <v>44</v>
      </c>
      <c r="I72" s="1" t="s">
        <v>81</v>
      </c>
      <c r="J72" s="5">
        <v>5.4537037037037044E-2</v>
      </c>
      <c r="K72" s="5">
        <v>9.7453703703703713E-3</v>
      </c>
      <c r="L72" s="1" t="s">
        <v>82</v>
      </c>
      <c r="M72" s="1">
        <v>55376</v>
      </c>
      <c r="N72" s="1">
        <v>83324650</v>
      </c>
      <c r="O72" s="1">
        <v>1</v>
      </c>
      <c r="P72" s="3" t="e">
        <f>VLOOKUP(Tabla3[[#This Row],[Entrega]],#REF!,4)</f>
        <v>#REF!</v>
      </c>
      <c r="Q72" s="2" t="e">
        <f>VLOOKUP(Tabla3[[#This Row],[Entrega]],#REF!,5)</f>
        <v>#REF!</v>
      </c>
      <c r="R72" s="2" t="e">
        <f>VLOOKUP(Tabla3[[#This Row],[Entrega]],#REF!,7)</f>
        <v>#REF!</v>
      </c>
      <c r="S72" s="2" t="e">
        <f>VLOOKUP(Tabla3[[#This Row],[Entrega]],#REF!,19)</f>
        <v>#REF!</v>
      </c>
      <c r="T72" s="3" t="e">
        <f>VLOOKUP(Tabla3[[#This Row],[Entrega]],#REF!,20)</f>
        <v>#REF!</v>
      </c>
    </row>
    <row r="73" spans="1:20" x14ac:dyDescent="0.2">
      <c r="A73" s="1">
        <v>194872</v>
      </c>
      <c r="B73" s="4">
        <v>44834</v>
      </c>
      <c r="C73" s="1" t="s">
        <v>87</v>
      </c>
      <c r="D73" s="5">
        <v>0.5021296296296297</v>
      </c>
      <c r="E73" s="5">
        <v>0.54789351851851853</v>
      </c>
      <c r="F73" s="5">
        <v>0.56039351851851849</v>
      </c>
      <c r="G73" s="1">
        <v>800000891</v>
      </c>
      <c r="H73" s="1" t="s">
        <v>44</v>
      </c>
      <c r="I73" s="1" t="s">
        <v>45</v>
      </c>
      <c r="J73" s="5">
        <v>4.5763888888888889E-2</v>
      </c>
      <c r="K73" s="5">
        <v>1.2499999999999999E-2</v>
      </c>
      <c r="L73" s="1" t="s">
        <v>160</v>
      </c>
      <c r="M73" s="1">
        <v>55375</v>
      </c>
      <c r="N73" s="1">
        <v>83324646</v>
      </c>
      <c r="O73" s="1">
        <v>1</v>
      </c>
      <c r="P73" s="3" t="e">
        <f>VLOOKUP(Tabla3[[#This Row],[Entrega]],#REF!,4)</f>
        <v>#REF!</v>
      </c>
      <c r="Q73" s="2" t="e">
        <f>VLOOKUP(Tabla3[[#This Row],[Entrega]],#REF!,5)</f>
        <v>#REF!</v>
      </c>
      <c r="R73" s="2" t="e">
        <f>VLOOKUP(Tabla3[[#This Row],[Entrega]],#REF!,7)</f>
        <v>#REF!</v>
      </c>
      <c r="S73" s="2" t="e">
        <f>VLOOKUP(Tabla3[[#This Row],[Entrega]],#REF!,19)</f>
        <v>#REF!</v>
      </c>
      <c r="T73" s="3" t="e">
        <f>VLOOKUP(Tabla3[[#This Row],[Entrega]],#REF!,20)</f>
        <v>#REF!</v>
      </c>
    </row>
    <row r="74" spans="1:20" x14ac:dyDescent="0.2">
      <c r="A74" s="1">
        <v>194871</v>
      </c>
      <c r="B74" s="4">
        <v>44834</v>
      </c>
      <c r="C74" s="1" t="s">
        <v>87</v>
      </c>
      <c r="D74" s="5">
        <v>0.4397685185185185</v>
      </c>
      <c r="E74" s="5">
        <v>0.49659722222222219</v>
      </c>
      <c r="F74" s="5">
        <v>0.51945601851851853</v>
      </c>
      <c r="G74" s="1">
        <v>800000891</v>
      </c>
      <c r="H74" s="1" t="s">
        <v>44</v>
      </c>
      <c r="I74" s="1" t="s">
        <v>67</v>
      </c>
      <c r="J74" s="5">
        <v>5.6828703703703708E-2</v>
      </c>
      <c r="K74" s="5">
        <v>2.2858796296296294E-2</v>
      </c>
      <c r="L74" s="1" t="s">
        <v>98</v>
      </c>
      <c r="M74" s="1">
        <v>55374</v>
      </c>
      <c r="N74" s="1">
        <v>83324639</v>
      </c>
      <c r="O74" s="1">
        <v>1</v>
      </c>
      <c r="P74" s="3" t="e">
        <f>VLOOKUP(Tabla3[[#This Row],[Entrega]],#REF!,4)</f>
        <v>#REF!</v>
      </c>
      <c r="Q74" s="2" t="e">
        <f>VLOOKUP(Tabla3[[#This Row],[Entrega]],#REF!,5)</f>
        <v>#REF!</v>
      </c>
      <c r="R74" s="2" t="e">
        <f>VLOOKUP(Tabla3[[#This Row],[Entrega]],#REF!,7)</f>
        <v>#REF!</v>
      </c>
      <c r="S74" s="2" t="e">
        <f>VLOOKUP(Tabla3[[#This Row],[Entrega]],#REF!,19)</f>
        <v>#REF!</v>
      </c>
      <c r="T74" s="3" t="e">
        <f>VLOOKUP(Tabla3[[#This Row],[Entrega]],#REF!,20)</f>
        <v>#REF!</v>
      </c>
    </row>
    <row r="75" spans="1:20" x14ac:dyDescent="0.2">
      <c r="A75" s="1">
        <v>194870</v>
      </c>
      <c r="B75" s="4">
        <v>44834</v>
      </c>
      <c r="C75" s="1" t="s">
        <v>18</v>
      </c>
      <c r="D75" s="5">
        <v>0.33605324074074078</v>
      </c>
      <c r="E75" s="5">
        <v>0.44322916666666662</v>
      </c>
      <c r="F75" s="5">
        <v>0.51513888888888892</v>
      </c>
      <c r="G75" s="1">
        <v>800000306</v>
      </c>
      <c r="H75" s="1" t="s">
        <v>54</v>
      </c>
      <c r="I75" s="1" t="s">
        <v>174</v>
      </c>
      <c r="J75" s="5">
        <v>0.10717592592592594</v>
      </c>
      <c r="K75" s="5">
        <v>7.1909722222222222E-2</v>
      </c>
      <c r="L75" s="1" t="s">
        <v>126</v>
      </c>
      <c r="M75" s="1">
        <v>127466</v>
      </c>
      <c r="N75" s="1">
        <v>200249379</v>
      </c>
      <c r="O75" s="1">
        <v>1</v>
      </c>
      <c r="P75" s="3" t="e">
        <f>VLOOKUP(Tabla3[[#This Row],[Entrega]],#REF!,4)</f>
        <v>#REF!</v>
      </c>
      <c r="Q75" s="2" t="e">
        <f>VLOOKUP(Tabla3[[#This Row],[Entrega]],#REF!,5)</f>
        <v>#REF!</v>
      </c>
      <c r="R75" s="2" t="e">
        <f>VLOOKUP(Tabla3[[#This Row],[Entrega]],#REF!,7)</f>
        <v>#REF!</v>
      </c>
      <c r="S75" s="2" t="e">
        <f>VLOOKUP(Tabla3[[#This Row],[Entrega]],#REF!,19)</f>
        <v>#REF!</v>
      </c>
      <c r="T75" s="3" t="e">
        <f>VLOOKUP(Tabla3[[#This Row],[Entrega]],#REF!,20)</f>
        <v>#REF!</v>
      </c>
    </row>
    <row r="76" spans="1:20" x14ac:dyDescent="0.2">
      <c r="A76" s="1">
        <v>194869</v>
      </c>
      <c r="B76" s="4">
        <v>44834</v>
      </c>
      <c r="C76" s="1" t="s">
        <v>87</v>
      </c>
      <c r="D76" s="5">
        <v>0.42276620370370371</v>
      </c>
      <c r="E76" s="5">
        <v>0.4649652777777778</v>
      </c>
      <c r="F76" s="5">
        <v>0.48188657407407409</v>
      </c>
      <c r="G76" s="1">
        <v>800000891</v>
      </c>
      <c r="H76" s="1" t="s">
        <v>44</v>
      </c>
      <c r="I76" s="1" t="s">
        <v>81</v>
      </c>
      <c r="J76" s="5">
        <v>4.2199074074074076E-2</v>
      </c>
      <c r="K76" s="5">
        <v>1.6921296296296299E-2</v>
      </c>
      <c r="L76" s="1" t="s">
        <v>175</v>
      </c>
      <c r="M76" s="1">
        <v>55372</v>
      </c>
      <c r="N76" s="1">
        <v>83324635</v>
      </c>
      <c r="O76" s="1">
        <v>1</v>
      </c>
      <c r="P76" s="3" t="e">
        <f>VLOOKUP(Tabla3[[#This Row],[Entrega]],#REF!,4)</f>
        <v>#REF!</v>
      </c>
      <c r="Q76" s="2" t="e">
        <f>VLOOKUP(Tabla3[[#This Row],[Entrega]],#REF!,5)</f>
        <v>#REF!</v>
      </c>
      <c r="R76" s="2" t="e">
        <f>VLOOKUP(Tabla3[[#This Row],[Entrega]],#REF!,7)</f>
        <v>#REF!</v>
      </c>
      <c r="S76" s="2" t="e">
        <f>VLOOKUP(Tabla3[[#This Row],[Entrega]],#REF!,19)</f>
        <v>#REF!</v>
      </c>
      <c r="T76" s="3" t="e">
        <f>VLOOKUP(Tabla3[[#This Row],[Entrega]],#REF!,20)</f>
        <v>#REF!</v>
      </c>
    </row>
    <row r="77" spans="1:20" x14ac:dyDescent="0.2">
      <c r="A77" s="1">
        <v>194868</v>
      </c>
      <c r="B77" s="4">
        <v>44834</v>
      </c>
      <c r="C77" s="1" t="s">
        <v>18</v>
      </c>
      <c r="D77" s="5">
        <v>0.33452546296296298</v>
      </c>
      <c r="E77" s="5">
        <v>0.4105671296296296</v>
      </c>
      <c r="F77" s="5">
        <v>0.46913194444444445</v>
      </c>
      <c r="G77" s="1">
        <v>800000000</v>
      </c>
      <c r="H77" s="1" t="s">
        <v>20</v>
      </c>
      <c r="I77" s="1" t="s">
        <v>145</v>
      </c>
      <c r="J77" s="5">
        <v>7.604166666666666E-2</v>
      </c>
      <c r="K77" s="5">
        <v>5.8564814814814813E-2</v>
      </c>
      <c r="L77" s="1" t="s">
        <v>63</v>
      </c>
      <c r="M77" s="1">
        <v>127465</v>
      </c>
      <c r="N77" s="1">
        <v>200249378</v>
      </c>
      <c r="O77" s="1">
        <v>1</v>
      </c>
      <c r="P77" s="3" t="e">
        <f>VLOOKUP(Tabla3[[#This Row],[Entrega]],#REF!,4)</f>
        <v>#REF!</v>
      </c>
      <c r="Q77" s="2" t="e">
        <f>VLOOKUP(Tabla3[[#This Row],[Entrega]],#REF!,5)</f>
        <v>#REF!</v>
      </c>
      <c r="R77" s="2" t="e">
        <f>VLOOKUP(Tabla3[[#This Row],[Entrega]],#REF!,7)</f>
        <v>#REF!</v>
      </c>
      <c r="S77" s="2" t="e">
        <f>VLOOKUP(Tabla3[[#This Row],[Entrega]],#REF!,19)</f>
        <v>#REF!</v>
      </c>
      <c r="T77" s="3" t="e">
        <f>VLOOKUP(Tabla3[[#This Row],[Entrega]],#REF!,20)</f>
        <v>#REF!</v>
      </c>
    </row>
    <row r="78" spans="1:20" x14ac:dyDescent="0.2">
      <c r="A78" s="1">
        <v>194867</v>
      </c>
      <c r="B78" s="4">
        <v>44834</v>
      </c>
      <c r="C78" s="1" t="s">
        <v>18</v>
      </c>
      <c r="D78" s="5">
        <v>0.33403935185185185</v>
      </c>
      <c r="E78" s="5">
        <v>0.37827546296296299</v>
      </c>
      <c r="F78" s="5">
        <v>0.42835648148148148</v>
      </c>
      <c r="G78" s="1">
        <v>800000000</v>
      </c>
      <c r="H78" s="1" t="s">
        <v>20</v>
      </c>
      <c r="I78" s="1" t="s">
        <v>146</v>
      </c>
      <c r="J78" s="5">
        <v>4.4236111111111115E-2</v>
      </c>
      <c r="K78" s="5">
        <v>5.0081018518518518E-2</v>
      </c>
      <c r="L78" s="1" t="s">
        <v>97</v>
      </c>
      <c r="M78" s="1">
        <v>127464</v>
      </c>
      <c r="N78" s="1">
        <v>200249377</v>
      </c>
      <c r="O78" s="1">
        <v>1</v>
      </c>
      <c r="P78" s="3" t="e">
        <f>VLOOKUP(Tabla3[[#This Row],[Entrega]],#REF!,4)</f>
        <v>#REF!</v>
      </c>
      <c r="Q78" s="2" t="e">
        <f>VLOOKUP(Tabla3[[#This Row],[Entrega]],#REF!,5)</f>
        <v>#REF!</v>
      </c>
      <c r="R78" s="2" t="e">
        <f>VLOOKUP(Tabla3[[#This Row],[Entrega]],#REF!,7)</f>
        <v>#REF!</v>
      </c>
      <c r="S78" s="2" t="e">
        <f>VLOOKUP(Tabla3[[#This Row],[Entrega]],#REF!,19)</f>
        <v>#REF!</v>
      </c>
      <c r="T78" s="3" t="e">
        <f>VLOOKUP(Tabla3[[#This Row],[Entrega]],#REF!,20)</f>
        <v>#REF!</v>
      </c>
    </row>
    <row r="79" spans="1:20" x14ac:dyDescent="0.2">
      <c r="A79" s="1">
        <v>194866</v>
      </c>
      <c r="B79" s="4">
        <v>44834</v>
      </c>
      <c r="C79" s="1" t="s">
        <v>18</v>
      </c>
      <c r="D79" s="5">
        <v>0.30359953703703707</v>
      </c>
      <c r="E79" s="5">
        <v>0.35991898148148144</v>
      </c>
      <c r="F79" s="5">
        <v>0.40479166666666666</v>
      </c>
      <c r="G79" s="1">
        <v>800000000</v>
      </c>
      <c r="H79" s="1" t="s">
        <v>20</v>
      </c>
      <c r="I79" s="1" t="s">
        <v>106</v>
      </c>
      <c r="J79" s="5">
        <v>5.6319444444444443E-2</v>
      </c>
      <c r="K79" s="5">
        <v>4.4872685185185189E-2</v>
      </c>
      <c r="L79" s="1" t="s">
        <v>72</v>
      </c>
      <c r="M79" s="1">
        <v>127463</v>
      </c>
      <c r="N79" s="1">
        <v>200249376</v>
      </c>
      <c r="O79" s="1">
        <v>1</v>
      </c>
      <c r="P79" s="3" t="e">
        <f>VLOOKUP(Tabla3[[#This Row],[Entrega]],#REF!,4)</f>
        <v>#REF!</v>
      </c>
      <c r="Q79" s="2" t="e">
        <f>VLOOKUP(Tabla3[[#This Row],[Entrega]],#REF!,5)</f>
        <v>#REF!</v>
      </c>
      <c r="R79" s="2" t="e">
        <f>VLOOKUP(Tabla3[[#This Row],[Entrega]],#REF!,7)</f>
        <v>#REF!</v>
      </c>
      <c r="S79" s="2" t="e">
        <f>VLOOKUP(Tabla3[[#This Row],[Entrega]],#REF!,19)</f>
        <v>#REF!</v>
      </c>
      <c r="T79" s="3" t="e">
        <f>VLOOKUP(Tabla3[[#This Row],[Entrega]],#REF!,20)</f>
        <v>#REF!</v>
      </c>
    </row>
    <row r="80" spans="1:20" x14ac:dyDescent="0.2">
      <c r="A80" s="1">
        <v>194833</v>
      </c>
      <c r="B80" s="4">
        <v>44834</v>
      </c>
      <c r="C80" s="1" t="s">
        <v>87</v>
      </c>
      <c r="D80" s="5">
        <v>0.29896990740740742</v>
      </c>
      <c r="E80" s="5">
        <v>0.35987268518518517</v>
      </c>
      <c r="F80" s="5">
        <v>0.38756944444444441</v>
      </c>
      <c r="G80" s="1">
        <v>800000891</v>
      </c>
      <c r="H80" s="1" t="s">
        <v>44</v>
      </c>
      <c r="I80" s="1" t="s">
        <v>45</v>
      </c>
      <c r="J80" s="5">
        <v>6.0902777777777778E-2</v>
      </c>
      <c r="K80" s="5">
        <v>2.7696759259259258E-2</v>
      </c>
      <c r="L80" s="1" t="s">
        <v>160</v>
      </c>
      <c r="M80" s="1">
        <v>55369</v>
      </c>
      <c r="N80" s="1">
        <v>83324610</v>
      </c>
      <c r="O80" s="1">
        <v>1</v>
      </c>
      <c r="P80" s="3" t="e">
        <f>VLOOKUP(Tabla3[[#This Row],[Entrega]],#REF!,4)</f>
        <v>#REF!</v>
      </c>
      <c r="Q80" s="2" t="e">
        <f>VLOOKUP(Tabla3[[#This Row],[Entrega]],#REF!,5)</f>
        <v>#REF!</v>
      </c>
      <c r="R80" s="2" t="e">
        <f>VLOOKUP(Tabla3[[#This Row],[Entrega]],#REF!,7)</f>
        <v>#REF!</v>
      </c>
      <c r="S80" s="2" t="e">
        <f>VLOOKUP(Tabla3[[#This Row],[Entrega]],#REF!,19)</f>
        <v>#REF!</v>
      </c>
      <c r="T80" s="3" t="e">
        <f>VLOOKUP(Tabla3[[#This Row],[Entrega]],#REF!,20)</f>
        <v>#REF!</v>
      </c>
    </row>
    <row r="81" spans="1:20" x14ac:dyDescent="0.2">
      <c r="A81" s="1">
        <v>194801</v>
      </c>
      <c r="B81" s="4">
        <v>44834</v>
      </c>
      <c r="C81" s="1" t="s">
        <v>87</v>
      </c>
      <c r="D81" s="5">
        <v>0.2988541666666667</v>
      </c>
      <c r="E81" s="5">
        <v>0.34487268518518516</v>
      </c>
      <c r="F81" s="5">
        <v>0.3747685185185185</v>
      </c>
      <c r="G81" s="1">
        <v>800000891</v>
      </c>
      <c r="H81" s="1" t="s">
        <v>44</v>
      </c>
      <c r="I81" s="1" t="s">
        <v>67</v>
      </c>
      <c r="J81" s="5">
        <v>4.6018518518518514E-2</v>
      </c>
      <c r="K81" s="5">
        <v>2.989583333333333E-2</v>
      </c>
      <c r="L81" s="1" t="s">
        <v>98</v>
      </c>
      <c r="M81" s="1">
        <v>55368</v>
      </c>
      <c r="N81" s="1">
        <v>83324607</v>
      </c>
      <c r="O81" s="1">
        <v>1</v>
      </c>
      <c r="P81" s="3" t="e">
        <f>VLOOKUP(Tabla3[[#This Row],[Entrega]],#REF!,4)</f>
        <v>#REF!</v>
      </c>
      <c r="Q81" s="2" t="e">
        <f>VLOOKUP(Tabla3[[#This Row],[Entrega]],#REF!,5)</f>
        <v>#REF!</v>
      </c>
      <c r="R81" s="2" t="e">
        <f>VLOOKUP(Tabla3[[#This Row],[Entrega]],#REF!,7)</f>
        <v>#REF!</v>
      </c>
      <c r="S81" s="2" t="e">
        <f>VLOOKUP(Tabla3[[#This Row],[Entrega]],#REF!,19)</f>
        <v>#REF!</v>
      </c>
      <c r="T81" s="3" t="e">
        <f>VLOOKUP(Tabla3[[#This Row],[Entrega]],#REF!,20)</f>
        <v>#REF!</v>
      </c>
    </row>
    <row r="82" spans="1:20" x14ac:dyDescent="0.2">
      <c r="A82" s="1">
        <v>194800</v>
      </c>
      <c r="B82" s="4">
        <v>44834</v>
      </c>
      <c r="C82" s="1" t="s">
        <v>87</v>
      </c>
      <c r="D82" s="5">
        <v>0.29754629629629631</v>
      </c>
      <c r="E82" s="5">
        <v>0.34379629629629632</v>
      </c>
      <c r="F82" s="5">
        <v>0.37289351851851849</v>
      </c>
      <c r="G82" s="1">
        <v>800000891</v>
      </c>
      <c r="H82" s="1" t="s">
        <v>44</v>
      </c>
      <c r="I82" s="1" t="s">
        <v>81</v>
      </c>
      <c r="J82" s="5">
        <v>4.6250000000000006E-2</v>
      </c>
      <c r="K82" s="5">
        <v>2.9097222222222222E-2</v>
      </c>
      <c r="L82" s="1" t="s">
        <v>82</v>
      </c>
      <c r="M82" s="1">
        <v>55367</v>
      </c>
      <c r="N82" s="1">
        <v>83324605</v>
      </c>
      <c r="O82" s="1">
        <v>1</v>
      </c>
      <c r="P82" s="3" t="e">
        <f>VLOOKUP(Tabla3[[#This Row],[Entrega]],#REF!,4)</f>
        <v>#REF!</v>
      </c>
      <c r="Q82" s="2" t="e">
        <f>VLOOKUP(Tabla3[[#This Row],[Entrega]],#REF!,5)</f>
        <v>#REF!</v>
      </c>
      <c r="R82" s="2" t="e">
        <f>VLOOKUP(Tabla3[[#This Row],[Entrega]],#REF!,7)</f>
        <v>#REF!</v>
      </c>
      <c r="S82" s="2" t="e">
        <f>VLOOKUP(Tabla3[[#This Row],[Entrega]],#REF!,19)</f>
        <v>#REF!</v>
      </c>
      <c r="T82" s="3" t="e">
        <f>VLOOKUP(Tabla3[[#This Row],[Entrega]],#REF!,20)</f>
        <v>#REF!</v>
      </c>
    </row>
    <row r="83" spans="1:20" x14ac:dyDescent="0.2">
      <c r="A83" s="1">
        <v>194768</v>
      </c>
      <c r="B83" s="4">
        <v>44834</v>
      </c>
      <c r="C83" s="1" t="s">
        <v>16</v>
      </c>
      <c r="D83" s="5">
        <v>0.89572916666666658</v>
      </c>
      <c r="E83" s="5">
        <v>0.24578703703703705</v>
      </c>
      <c r="F83" s="5">
        <v>0.27399305555555559</v>
      </c>
      <c r="G83" s="1">
        <v>800000268</v>
      </c>
      <c r="H83" s="1" t="s">
        <v>24</v>
      </c>
      <c r="I83" s="1" t="s">
        <v>55</v>
      </c>
      <c r="J83" s="5">
        <v>0.35005787037037034</v>
      </c>
      <c r="K83" s="5">
        <v>2.8206018518518519E-2</v>
      </c>
      <c r="L83" s="1" t="s">
        <v>60</v>
      </c>
      <c r="M83" s="1">
        <v>127462</v>
      </c>
      <c r="N83" s="1">
        <v>200249368</v>
      </c>
      <c r="O83" s="1">
        <v>1</v>
      </c>
      <c r="P83" s="3" t="e">
        <f>VLOOKUP(Tabla3[[#This Row],[Entrega]],#REF!,4)</f>
        <v>#REF!</v>
      </c>
      <c r="Q83" s="2" t="e">
        <f>VLOOKUP(Tabla3[[#This Row],[Entrega]],#REF!,5)</f>
        <v>#REF!</v>
      </c>
      <c r="R83" s="2" t="e">
        <f>VLOOKUP(Tabla3[[#This Row],[Entrega]],#REF!,7)</f>
        <v>#REF!</v>
      </c>
      <c r="S83" s="2" t="e">
        <f>VLOOKUP(Tabla3[[#This Row],[Entrega]],#REF!,19)</f>
        <v>#REF!</v>
      </c>
      <c r="T83" s="3" t="e">
        <f>VLOOKUP(Tabla3[[#This Row],[Entrega]],#REF!,20)</f>
        <v>#REF!</v>
      </c>
    </row>
    <row r="84" spans="1:20" x14ac:dyDescent="0.2">
      <c r="A84" s="1">
        <v>194635</v>
      </c>
      <c r="B84" s="4">
        <v>44833</v>
      </c>
      <c r="C84" s="1" t="s">
        <v>16</v>
      </c>
      <c r="D84" s="5">
        <v>0.26666666666666666</v>
      </c>
      <c r="E84" s="5">
        <v>0.30186342592592591</v>
      </c>
      <c r="F84" s="5">
        <v>0.33031250000000001</v>
      </c>
      <c r="G84" s="1">
        <v>800000670</v>
      </c>
      <c r="H84" s="1" t="s">
        <v>44</v>
      </c>
      <c r="I84" s="1" t="s">
        <v>34</v>
      </c>
      <c r="J84" s="5">
        <v>3.5196759259259254E-2</v>
      </c>
      <c r="K84" s="5">
        <v>2.8449074074074075E-2</v>
      </c>
      <c r="L84" s="1" t="s">
        <v>47</v>
      </c>
      <c r="M84" s="1">
        <v>55344</v>
      </c>
      <c r="N84" s="1">
        <v>83324420</v>
      </c>
      <c r="O84" s="1">
        <v>1</v>
      </c>
      <c r="P84" s="3" t="e">
        <f>VLOOKUP(Tabla3[[#This Row],[Entrega]],#REF!,4)</f>
        <v>#REF!</v>
      </c>
      <c r="Q84" s="2" t="e">
        <f>VLOOKUP(Tabla3[[#This Row],[Entrega]],#REF!,5)</f>
        <v>#REF!</v>
      </c>
      <c r="R84" s="2" t="e">
        <f>VLOOKUP(Tabla3[[#This Row],[Entrega]],#REF!,7)</f>
        <v>#REF!</v>
      </c>
      <c r="S84" s="2" t="e">
        <f>VLOOKUP(Tabla3[[#This Row],[Entrega]],#REF!,19)</f>
        <v>#REF!</v>
      </c>
      <c r="T84" s="3" t="e">
        <f>VLOOKUP(Tabla3[[#This Row],[Entrega]],#REF!,20)</f>
        <v>#REF!</v>
      </c>
    </row>
    <row r="85" spans="1:20" x14ac:dyDescent="0.2">
      <c r="A85" s="1">
        <v>194742</v>
      </c>
      <c r="B85" s="4">
        <v>44834</v>
      </c>
      <c r="C85" s="1" t="s">
        <v>18</v>
      </c>
      <c r="D85" s="5">
        <v>9.7256944444444438E-2</v>
      </c>
      <c r="E85" s="5">
        <v>0.15802083333333333</v>
      </c>
      <c r="F85" s="5">
        <v>0.18585648148148148</v>
      </c>
      <c r="G85" s="1">
        <v>800000000</v>
      </c>
      <c r="H85" s="1" t="s">
        <v>20</v>
      </c>
      <c r="I85" s="1" t="s">
        <v>35</v>
      </c>
      <c r="J85" s="5">
        <v>6.0763888888888888E-2</v>
      </c>
      <c r="K85" s="5">
        <v>2.7835648148148151E-2</v>
      </c>
      <c r="L85" s="1" t="s">
        <v>31</v>
      </c>
      <c r="M85" s="1">
        <v>127461</v>
      </c>
      <c r="N85" s="1">
        <v>200249375</v>
      </c>
      <c r="O85" s="1">
        <v>1</v>
      </c>
      <c r="P85" s="3" t="e">
        <f>VLOOKUP(Tabla3[[#This Row],[Entrega]],#REF!,4)</f>
        <v>#REF!</v>
      </c>
      <c r="Q85" s="2" t="e">
        <f>VLOOKUP(Tabla3[[#This Row],[Entrega]],#REF!,5)</f>
        <v>#REF!</v>
      </c>
      <c r="R85" s="2" t="e">
        <f>VLOOKUP(Tabla3[[#This Row],[Entrega]],#REF!,7)</f>
        <v>#REF!</v>
      </c>
      <c r="S85" s="2" t="e">
        <f>VLOOKUP(Tabla3[[#This Row],[Entrega]],#REF!,19)</f>
        <v>#REF!</v>
      </c>
      <c r="T85" s="3" t="e">
        <f>VLOOKUP(Tabla3[[#This Row],[Entrega]],#REF!,20)</f>
        <v>#REF!</v>
      </c>
    </row>
    <row r="86" spans="1:20" x14ac:dyDescent="0.2">
      <c r="A86" s="1">
        <v>194741</v>
      </c>
      <c r="B86" s="4">
        <v>44834</v>
      </c>
      <c r="C86" s="1" t="s">
        <v>18</v>
      </c>
      <c r="D86" s="5">
        <v>9.1446759259259255E-2</v>
      </c>
      <c r="E86" s="5">
        <v>0.14334490740740741</v>
      </c>
      <c r="F86" s="5">
        <v>0.16582175925925927</v>
      </c>
      <c r="G86" s="1">
        <v>800000000</v>
      </c>
      <c r="H86" s="1" t="s">
        <v>20</v>
      </c>
      <c r="I86" s="1" t="s">
        <v>62</v>
      </c>
      <c r="J86" s="5">
        <v>5.1898148148148145E-2</v>
      </c>
      <c r="K86" s="5">
        <v>2.2476851851851855E-2</v>
      </c>
      <c r="L86" s="1" t="s">
        <v>63</v>
      </c>
      <c r="M86" s="1">
        <v>127460</v>
      </c>
      <c r="N86" s="1">
        <v>200249374</v>
      </c>
      <c r="O86" s="1">
        <v>1</v>
      </c>
      <c r="P86" s="3" t="e">
        <f>VLOOKUP(Tabla3[[#This Row],[Entrega]],#REF!,4)</f>
        <v>#REF!</v>
      </c>
      <c r="Q86" s="2" t="e">
        <f>VLOOKUP(Tabla3[[#This Row],[Entrega]],#REF!,5)</f>
        <v>#REF!</v>
      </c>
      <c r="R86" s="2" t="e">
        <f>VLOOKUP(Tabla3[[#This Row],[Entrega]],#REF!,7)</f>
        <v>#REF!</v>
      </c>
      <c r="S86" s="2" t="e">
        <f>VLOOKUP(Tabla3[[#This Row],[Entrega]],#REF!,19)</f>
        <v>#REF!</v>
      </c>
      <c r="T86" s="3" t="e">
        <f>VLOOKUP(Tabla3[[#This Row],[Entrega]],#REF!,20)</f>
        <v>#REF!</v>
      </c>
    </row>
    <row r="87" spans="1:20" x14ac:dyDescent="0.2">
      <c r="A87" s="1">
        <v>194740</v>
      </c>
      <c r="B87" s="4">
        <v>44834</v>
      </c>
      <c r="C87" s="1" t="s">
        <v>18</v>
      </c>
      <c r="D87" s="5">
        <v>0.11174768518518519</v>
      </c>
      <c r="E87" s="5">
        <v>0.12910879629629629</v>
      </c>
      <c r="F87" s="5">
        <v>0.14737268518518518</v>
      </c>
      <c r="G87" s="1">
        <v>800000001</v>
      </c>
      <c r="H87" s="1" t="s">
        <v>21</v>
      </c>
      <c r="I87" s="1" t="s">
        <v>41</v>
      </c>
      <c r="J87" s="5">
        <v>1.7361111111111112E-2</v>
      </c>
      <c r="K87" s="5">
        <v>1.8263888888888889E-2</v>
      </c>
      <c r="L87" s="1" t="s">
        <v>73</v>
      </c>
      <c r="M87" s="1">
        <v>127459</v>
      </c>
      <c r="N87" s="1">
        <v>200249372</v>
      </c>
      <c r="O87" s="1">
        <v>1</v>
      </c>
      <c r="P87" s="3" t="e">
        <f>VLOOKUP(Tabla3[[#This Row],[Entrega]],#REF!,4)</f>
        <v>#REF!</v>
      </c>
      <c r="Q87" s="2" t="e">
        <f>VLOOKUP(Tabla3[[#This Row],[Entrega]],#REF!,5)</f>
        <v>#REF!</v>
      </c>
      <c r="R87" s="2" t="e">
        <f>VLOOKUP(Tabla3[[#This Row],[Entrega]],#REF!,7)</f>
        <v>#REF!</v>
      </c>
      <c r="S87" s="2" t="e">
        <f>VLOOKUP(Tabla3[[#This Row],[Entrega]],#REF!,19)</f>
        <v>#REF!</v>
      </c>
      <c r="T87" s="3" t="e">
        <f>VLOOKUP(Tabla3[[#This Row],[Entrega]],#REF!,20)</f>
        <v>#REF!</v>
      </c>
    </row>
    <row r="88" spans="1:20" x14ac:dyDescent="0.2">
      <c r="A88" s="1">
        <v>194739</v>
      </c>
      <c r="B88" s="4">
        <v>44834</v>
      </c>
      <c r="C88" s="1" t="s">
        <v>18</v>
      </c>
      <c r="D88" s="5">
        <v>6.2476851851851846E-2</v>
      </c>
      <c r="E88" s="5">
        <v>8.5810185185185184E-2</v>
      </c>
      <c r="F88" s="5">
        <v>0.12880787037037036</v>
      </c>
      <c r="G88" s="1">
        <v>800000000</v>
      </c>
      <c r="H88" s="1" t="s">
        <v>20</v>
      </c>
      <c r="I88" s="1" t="s">
        <v>108</v>
      </c>
      <c r="J88" s="5">
        <v>2.3333333333333334E-2</v>
      </c>
      <c r="K88" s="5">
        <v>4.2997685185185187E-2</v>
      </c>
      <c r="L88" s="1" t="s">
        <v>109</v>
      </c>
      <c r="M88" s="1">
        <v>127458</v>
      </c>
      <c r="N88" s="1">
        <v>200249373</v>
      </c>
      <c r="O88" s="1">
        <v>1</v>
      </c>
      <c r="P88" s="3" t="e">
        <f>VLOOKUP(Tabla3[[#This Row],[Entrega]],#REF!,4)</f>
        <v>#REF!</v>
      </c>
      <c r="Q88" s="2" t="e">
        <f>VLOOKUP(Tabla3[[#This Row],[Entrega]],#REF!,5)</f>
        <v>#REF!</v>
      </c>
      <c r="R88" s="2" t="e">
        <f>VLOOKUP(Tabla3[[#This Row],[Entrega]],#REF!,7)</f>
        <v>#REF!</v>
      </c>
      <c r="S88" s="2" t="e">
        <f>VLOOKUP(Tabla3[[#This Row],[Entrega]],#REF!,19)</f>
        <v>#REF!</v>
      </c>
      <c r="T88" s="3" t="e">
        <f>VLOOKUP(Tabla3[[#This Row],[Entrega]],#REF!,20)</f>
        <v>#REF!</v>
      </c>
    </row>
    <row r="89" spans="1:20" x14ac:dyDescent="0.2">
      <c r="A89" s="1">
        <v>194738</v>
      </c>
      <c r="B89" s="4">
        <v>44834</v>
      </c>
      <c r="C89" s="1" t="s">
        <v>16</v>
      </c>
      <c r="D89" s="5">
        <v>1.6145833333333335E-2</v>
      </c>
      <c r="E89" s="5">
        <v>7.4050925925925923E-2</v>
      </c>
      <c r="F89" s="5">
        <v>9.0069444444444438E-2</v>
      </c>
      <c r="G89" s="1">
        <v>800000250</v>
      </c>
      <c r="H89" s="1" t="s">
        <v>86</v>
      </c>
      <c r="I89" s="1" t="s">
        <v>43</v>
      </c>
      <c r="J89" s="5">
        <v>5.7905092592592598E-2</v>
      </c>
      <c r="K89" s="5">
        <v>1.6018518518518519E-2</v>
      </c>
      <c r="L89" s="1" t="s">
        <v>71</v>
      </c>
      <c r="M89" s="1">
        <v>127457</v>
      </c>
      <c r="N89" s="1">
        <v>200249371</v>
      </c>
      <c r="O89" s="1">
        <v>1</v>
      </c>
      <c r="P89" s="3" t="e">
        <f>VLOOKUP(Tabla3[[#This Row],[Entrega]],#REF!,4)</f>
        <v>#REF!</v>
      </c>
      <c r="Q89" s="2" t="e">
        <f>VLOOKUP(Tabla3[[#This Row],[Entrega]],#REF!,5)</f>
        <v>#REF!</v>
      </c>
      <c r="R89" s="2" t="e">
        <f>VLOOKUP(Tabla3[[#This Row],[Entrega]],#REF!,7)</f>
        <v>#REF!</v>
      </c>
      <c r="S89" s="2" t="e">
        <f>VLOOKUP(Tabla3[[#This Row],[Entrega]],#REF!,19)</f>
        <v>#REF!</v>
      </c>
      <c r="T89" s="3" t="e">
        <f>VLOOKUP(Tabla3[[#This Row],[Entrega]],#REF!,20)</f>
        <v>#REF!</v>
      </c>
    </row>
    <row r="90" spans="1:20" x14ac:dyDescent="0.2">
      <c r="A90" s="1">
        <v>194737</v>
      </c>
      <c r="B90" s="4">
        <v>44834</v>
      </c>
      <c r="C90" s="1" t="s">
        <v>18</v>
      </c>
      <c r="D90" s="5">
        <v>1.7592592592592592E-3</v>
      </c>
      <c r="E90" s="5">
        <v>3.0243055555555554E-2</v>
      </c>
      <c r="F90" s="5">
        <v>5.063657407407407E-2</v>
      </c>
      <c r="G90" s="1">
        <v>800000001</v>
      </c>
      <c r="H90" s="1" t="s">
        <v>21</v>
      </c>
      <c r="I90" s="1" t="s">
        <v>41</v>
      </c>
      <c r="J90" s="5">
        <v>2.8483796296296295E-2</v>
      </c>
      <c r="K90" s="5">
        <v>2.0393518518518519E-2</v>
      </c>
      <c r="L90" s="1" t="s">
        <v>73</v>
      </c>
      <c r="M90" s="1">
        <v>127456</v>
      </c>
      <c r="N90" s="1">
        <v>200249370</v>
      </c>
      <c r="O90" s="1">
        <v>1</v>
      </c>
      <c r="P90" s="3" t="e">
        <f>VLOOKUP(Tabla3[[#This Row],[Entrega]],#REF!,4)</f>
        <v>#REF!</v>
      </c>
      <c r="Q90" s="2" t="e">
        <f>VLOOKUP(Tabla3[[#This Row],[Entrega]],#REF!,5)</f>
        <v>#REF!</v>
      </c>
      <c r="R90" s="2" t="e">
        <f>VLOOKUP(Tabla3[[#This Row],[Entrega]],#REF!,7)</f>
        <v>#REF!</v>
      </c>
      <c r="S90" s="2" t="e">
        <f>VLOOKUP(Tabla3[[#This Row],[Entrega]],#REF!,19)</f>
        <v>#REF!</v>
      </c>
      <c r="T90" s="3" t="e">
        <f>VLOOKUP(Tabla3[[#This Row],[Entrega]],#REF!,20)</f>
        <v>#REF!</v>
      </c>
    </row>
    <row r="91" spans="1:20" x14ac:dyDescent="0.2">
      <c r="A91" s="1">
        <v>194736</v>
      </c>
      <c r="B91" s="4">
        <v>44834</v>
      </c>
      <c r="C91" s="1" t="s">
        <v>18</v>
      </c>
      <c r="D91" s="5">
        <v>0.96741898148148142</v>
      </c>
      <c r="E91" s="5">
        <v>1.1157407407407408E-2</v>
      </c>
      <c r="F91" s="5">
        <v>4.4965277777777778E-2</v>
      </c>
      <c r="G91" s="1">
        <v>800000305</v>
      </c>
      <c r="H91" s="1" t="s">
        <v>22</v>
      </c>
      <c r="I91" s="1" t="s">
        <v>78</v>
      </c>
      <c r="J91" s="5">
        <v>4.3738425925925924E-2</v>
      </c>
      <c r="K91" s="5">
        <v>3.380787037037037E-2</v>
      </c>
      <c r="L91" s="1" t="s">
        <v>176</v>
      </c>
      <c r="M91" s="1">
        <v>127455</v>
      </c>
      <c r="N91" s="1">
        <v>200249369</v>
      </c>
      <c r="O91" s="1">
        <v>1</v>
      </c>
      <c r="P91" s="3" t="e">
        <f>VLOOKUP(Tabla3[[#This Row],[Entrega]],#REF!,4)</f>
        <v>#REF!</v>
      </c>
      <c r="Q91" s="2" t="e">
        <f>VLOOKUP(Tabla3[[#This Row],[Entrega]],#REF!,5)</f>
        <v>#REF!</v>
      </c>
      <c r="R91" s="2" t="e">
        <f>VLOOKUP(Tabla3[[#This Row],[Entrega]],#REF!,7)</f>
        <v>#REF!</v>
      </c>
      <c r="S91" s="2" t="e">
        <f>VLOOKUP(Tabla3[[#This Row],[Entrega]],#REF!,19)</f>
        <v>#REF!</v>
      </c>
      <c r="T91" s="3" t="e">
        <f>VLOOKUP(Tabla3[[#This Row],[Entrega]],#REF!,20)</f>
        <v>#REF!</v>
      </c>
    </row>
    <row r="92" spans="1:20" x14ac:dyDescent="0.2">
      <c r="A92" s="1">
        <v>194735</v>
      </c>
      <c r="B92" s="4">
        <v>44834</v>
      </c>
      <c r="C92" s="1" t="s">
        <v>18</v>
      </c>
      <c r="D92" s="5">
        <v>0.91849537037037043</v>
      </c>
      <c r="E92" s="5">
        <v>0.9927083333333333</v>
      </c>
      <c r="F92" s="5">
        <v>1.3634259259259257E-2</v>
      </c>
      <c r="G92" s="1">
        <v>800000003</v>
      </c>
      <c r="H92" s="1" t="s">
        <v>33</v>
      </c>
      <c r="I92" s="1" t="s">
        <v>177</v>
      </c>
      <c r="J92" s="5">
        <v>7.4212962962962967E-2</v>
      </c>
      <c r="K92" s="5">
        <v>2.0925925925925928E-2</v>
      </c>
      <c r="L92" s="1" t="s">
        <v>100</v>
      </c>
      <c r="M92" s="1">
        <v>127454</v>
      </c>
      <c r="N92" s="1">
        <v>200249366</v>
      </c>
      <c r="O92" s="1">
        <v>1</v>
      </c>
      <c r="P92" s="3" t="e">
        <f>VLOOKUP(Tabla3[[#This Row],[Entrega]],#REF!,4)</f>
        <v>#REF!</v>
      </c>
      <c r="Q92" s="2" t="e">
        <f>VLOOKUP(Tabla3[[#This Row],[Entrega]],#REF!,5)</f>
        <v>#REF!</v>
      </c>
      <c r="R92" s="2" t="e">
        <f>VLOOKUP(Tabla3[[#This Row],[Entrega]],#REF!,7)</f>
        <v>#REF!</v>
      </c>
      <c r="S92" s="2" t="e">
        <f>VLOOKUP(Tabla3[[#This Row],[Entrega]],#REF!,19)</f>
        <v>#REF!</v>
      </c>
      <c r="T92" s="3" t="e">
        <f>VLOOKUP(Tabla3[[#This Row],[Entrega]],#REF!,20)</f>
        <v>#REF!</v>
      </c>
    </row>
    <row r="93" spans="1:20" x14ac:dyDescent="0.2">
      <c r="A93" s="1">
        <v>194734</v>
      </c>
      <c r="B93" s="4">
        <v>44834</v>
      </c>
      <c r="C93" s="1" t="s">
        <v>18</v>
      </c>
      <c r="D93" s="5">
        <v>0.92651620370370369</v>
      </c>
      <c r="E93" s="5">
        <v>0.99274305555555553</v>
      </c>
      <c r="F93" s="5">
        <v>4.2361111111111106E-3</v>
      </c>
      <c r="G93" s="1">
        <v>800000000</v>
      </c>
      <c r="H93" s="1" t="s">
        <v>20</v>
      </c>
      <c r="I93" s="1" t="s">
        <v>35</v>
      </c>
      <c r="J93" s="5">
        <v>6.6226851851851856E-2</v>
      </c>
      <c r="K93" s="5">
        <v>1.1493055555555555E-2</v>
      </c>
      <c r="L93" s="1" t="s">
        <v>31</v>
      </c>
      <c r="M93" s="1">
        <v>127453</v>
      </c>
      <c r="N93" s="1">
        <v>200249367</v>
      </c>
      <c r="O93" s="1">
        <v>1</v>
      </c>
      <c r="P93" s="3" t="e">
        <f>VLOOKUP(Tabla3[[#This Row],[Entrega]],#REF!,4)</f>
        <v>#REF!</v>
      </c>
      <c r="Q93" s="2" t="e">
        <f>VLOOKUP(Tabla3[[#This Row],[Entrega]],#REF!,5)</f>
        <v>#REF!</v>
      </c>
      <c r="R93" s="2" t="e">
        <f>VLOOKUP(Tabla3[[#This Row],[Entrega]],#REF!,7)</f>
        <v>#REF!</v>
      </c>
      <c r="S93" s="2" t="e">
        <f>VLOOKUP(Tabla3[[#This Row],[Entrega]],#REF!,19)</f>
        <v>#REF!</v>
      </c>
      <c r="T93" s="3" t="e">
        <f>VLOOKUP(Tabla3[[#This Row],[Entrega]],#REF!,20)</f>
        <v>#REF!</v>
      </c>
    </row>
    <row r="94" spans="1:20" x14ac:dyDescent="0.2">
      <c r="A94" s="1">
        <v>194704</v>
      </c>
      <c r="B94" s="4">
        <v>44833</v>
      </c>
      <c r="C94" s="1" t="s">
        <v>18</v>
      </c>
      <c r="D94" s="5">
        <v>0.90103009259259259</v>
      </c>
      <c r="E94" s="5">
        <v>0.94446759259259261</v>
      </c>
      <c r="F94" s="5">
        <v>0.95890046296296294</v>
      </c>
      <c r="G94" s="1">
        <v>800000001</v>
      </c>
      <c r="H94" s="1" t="s">
        <v>21</v>
      </c>
      <c r="I94" s="1" t="s">
        <v>41</v>
      </c>
      <c r="J94" s="5">
        <v>4.3437499999999997E-2</v>
      </c>
      <c r="K94" s="5">
        <v>1.4432870370370372E-2</v>
      </c>
      <c r="L94" s="1" t="s">
        <v>73</v>
      </c>
      <c r="M94" s="1">
        <v>127452</v>
      </c>
      <c r="N94" s="1">
        <v>200249365</v>
      </c>
      <c r="O94" s="1">
        <v>1</v>
      </c>
      <c r="P94" s="3" t="e">
        <f>VLOOKUP(Tabla3[[#This Row],[Entrega]],#REF!,4)</f>
        <v>#REF!</v>
      </c>
      <c r="Q94" s="2" t="e">
        <f>VLOOKUP(Tabla3[[#This Row],[Entrega]],#REF!,5)</f>
        <v>#REF!</v>
      </c>
      <c r="R94" s="2" t="e">
        <f>VLOOKUP(Tabla3[[#This Row],[Entrega]],#REF!,7)</f>
        <v>#REF!</v>
      </c>
      <c r="S94" s="2" t="e">
        <f>VLOOKUP(Tabla3[[#This Row],[Entrega]],#REF!,19)</f>
        <v>#REF!</v>
      </c>
      <c r="T94" s="3" t="e">
        <f>VLOOKUP(Tabla3[[#This Row],[Entrega]],#REF!,20)</f>
        <v>#REF!</v>
      </c>
    </row>
    <row r="95" spans="1:20" x14ac:dyDescent="0.2">
      <c r="A95" s="1">
        <v>194703</v>
      </c>
      <c r="B95" s="4">
        <v>44833</v>
      </c>
      <c r="C95" s="1" t="s">
        <v>16</v>
      </c>
      <c r="D95" s="5">
        <v>0.88518518518518519</v>
      </c>
      <c r="E95" s="5">
        <v>0.89672453703703703</v>
      </c>
      <c r="F95" s="5">
        <v>0.9302083333333333</v>
      </c>
      <c r="G95" s="1">
        <v>800000250</v>
      </c>
      <c r="H95" s="1" t="s">
        <v>86</v>
      </c>
      <c r="I95" s="1" t="s">
        <v>58</v>
      </c>
      <c r="J95" s="5">
        <v>1.1539351851851851E-2</v>
      </c>
      <c r="K95" s="5">
        <v>3.3483796296296296E-2</v>
      </c>
      <c r="L95" s="1" t="s">
        <v>59</v>
      </c>
      <c r="M95" s="1">
        <v>127451</v>
      </c>
      <c r="N95" s="1">
        <v>200249364</v>
      </c>
      <c r="O95" s="1">
        <v>1</v>
      </c>
      <c r="P95" s="3" t="e">
        <f>VLOOKUP(Tabla3[[#This Row],[Entrega]],#REF!,4)</f>
        <v>#REF!</v>
      </c>
      <c r="Q95" s="2" t="e">
        <f>VLOOKUP(Tabla3[[#This Row],[Entrega]],#REF!,5)</f>
        <v>#REF!</v>
      </c>
      <c r="R95" s="2" t="e">
        <f>VLOOKUP(Tabla3[[#This Row],[Entrega]],#REF!,7)</f>
        <v>#REF!</v>
      </c>
      <c r="S95" s="2" t="e">
        <f>VLOOKUP(Tabla3[[#This Row],[Entrega]],#REF!,19)</f>
        <v>#REF!</v>
      </c>
      <c r="T95" s="3" t="e">
        <f>VLOOKUP(Tabla3[[#This Row],[Entrega]],#REF!,20)</f>
        <v>#REF!</v>
      </c>
    </row>
    <row r="96" spans="1:20" x14ac:dyDescent="0.2">
      <c r="A96" s="1">
        <v>194702</v>
      </c>
      <c r="B96" s="4">
        <v>44833</v>
      </c>
      <c r="C96" s="1" t="s">
        <v>18</v>
      </c>
      <c r="D96" s="5">
        <v>0.82287037037037036</v>
      </c>
      <c r="E96" s="5">
        <v>0.85021990740740738</v>
      </c>
      <c r="F96" s="5">
        <v>0.89868055555555559</v>
      </c>
      <c r="G96" s="1">
        <v>800000002</v>
      </c>
      <c r="H96" s="1" t="s">
        <v>23</v>
      </c>
      <c r="I96" s="1" t="s">
        <v>178</v>
      </c>
      <c r="J96" s="5">
        <v>2.7349537037037037E-2</v>
      </c>
      <c r="K96" s="5">
        <v>4.8460648148148149E-2</v>
      </c>
      <c r="L96" s="1" t="s">
        <v>179</v>
      </c>
      <c r="M96" s="1">
        <v>127450</v>
      </c>
      <c r="N96" s="1">
        <v>200249362</v>
      </c>
      <c r="O96" s="1">
        <v>1</v>
      </c>
      <c r="P96" s="3" t="e">
        <f>VLOOKUP(Tabla3[[#This Row],[Entrega]],#REF!,4)</f>
        <v>#REF!</v>
      </c>
      <c r="Q96" s="2" t="e">
        <f>VLOOKUP(Tabla3[[#This Row],[Entrega]],#REF!,5)</f>
        <v>#REF!</v>
      </c>
      <c r="R96" s="2" t="e">
        <f>VLOOKUP(Tabla3[[#This Row],[Entrega]],#REF!,7)</f>
        <v>#REF!</v>
      </c>
      <c r="S96" s="2" t="e">
        <f>VLOOKUP(Tabla3[[#This Row],[Entrega]],#REF!,19)</f>
        <v>#REF!</v>
      </c>
      <c r="T96" s="3" t="e">
        <f>VLOOKUP(Tabla3[[#This Row],[Entrega]],#REF!,20)</f>
        <v>#REF!</v>
      </c>
    </row>
    <row r="97" spans="1:20" x14ac:dyDescent="0.2">
      <c r="A97" s="1">
        <v>194701</v>
      </c>
      <c r="B97" s="4">
        <v>44833</v>
      </c>
      <c r="C97" s="1" t="s">
        <v>18</v>
      </c>
      <c r="D97" s="5">
        <v>0.81541666666666668</v>
      </c>
      <c r="E97" s="5">
        <v>0.83443287037037039</v>
      </c>
      <c r="F97" s="5">
        <v>0.88616898148148149</v>
      </c>
      <c r="G97" s="1">
        <v>800000417</v>
      </c>
      <c r="H97" s="1" t="s">
        <v>28</v>
      </c>
      <c r="I97" s="1" t="s">
        <v>180</v>
      </c>
      <c r="J97" s="5">
        <v>1.9016203703703705E-2</v>
      </c>
      <c r="K97" s="5">
        <v>5.1736111111111115E-2</v>
      </c>
      <c r="L97" s="1" t="s">
        <v>181</v>
      </c>
      <c r="M97" s="1">
        <v>127448</v>
      </c>
      <c r="N97" s="1">
        <v>200249361</v>
      </c>
      <c r="O97" s="1">
        <v>1</v>
      </c>
      <c r="P97" s="3" t="e">
        <f>VLOOKUP(Tabla3[[#This Row],[Entrega]],#REF!,4)</f>
        <v>#REF!</v>
      </c>
      <c r="Q97" s="2" t="e">
        <f>VLOOKUP(Tabla3[[#This Row],[Entrega]],#REF!,5)</f>
        <v>#REF!</v>
      </c>
      <c r="R97" s="2" t="e">
        <f>VLOOKUP(Tabla3[[#This Row],[Entrega]],#REF!,7)</f>
        <v>#REF!</v>
      </c>
      <c r="S97" s="2" t="e">
        <f>VLOOKUP(Tabla3[[#This Row],[Entrega]],#REF!,19)</f>
        <v>#REF!</v>
      </c>
      <c r="T97" s="3" t="e">
        <f>VLOOKUP(Tabla3[[#This Row],[Entrega]],#REF!,20)</f>
        <v>#REF!</v>
      </c>
    </row>
    <row r="98" spans="1:20" x14ac:dyDescent="0.2">
      <c r="A98" s="1">
        <v>194672</v>
      </c>
      <c r="B98" s="4">
        <v>44833</v>
      </c>
      <c r="C98" s="1" t="s">
        <v>18</v>
      </c>
      <c r="D98" s="5">
        <v>0.81479166666666669</v>
      </c>
      <c r="E98" s="5">
        <v>0.82034722222222223</v>
      </c>
      <c r="F98" s="5">
        <v>0.85777777777777775</v>
      </c>
      <c r="G98" s="1">
        <v>800000001</v>
      </c>
      <c r="H98" s="1" t="s">
        <v>21</v>
      </c>
      <c r="I98" s="1" t="s">
        <v>41</v>
      </c>
      <c r="J98" s="5">
        <v>5.5555555555555558E-3</v>
      </c>
      <c r="K98" s="5">
        <v>3.7430555555555557E-2</v>
      </c>
      <c r="L98" s="1" t="s">
        <v>73</v>
      </c>
      <c r="M98" s="1">
        <v>127447</v>
      </c>
      <c r="N98" s="1">
        <v>200249360</v>
      </c>
      <c r="O98" s="1">
        <v>1</v>
      </c>
      <c r="P98" s="3" t="e">
        <f>VLOOKUP(Tabla3[[#This Row],[Entrega]],#REF!,4)</f>
        <v>#REF!</v>
      </c>
      <c r="Q98" s="2" t="e">
        <f>VLOOKUP(Tabla3[[#This Row],[Entrega]],#REF!,5)</f>
        <v>#REF!</v>
      </c>
      <c r="R98" s="2" t="e">
        <f>VLOOKUP(Tabla3[[#This Row],[Entrega]],#REF!,7)</f>
        <v>#REF!</v>
      </c>
      <c r="S98" s="2" t="e">
        <f>VLOOKUP(Tabla3[[#This Row],[Entrega]],#REF!,19)</f>
        <v>#REF!</v>
      </c>
      <c r="T98" s="3" t="e">
        <f>VLOOKUP(Tabla3[[#This Row],[Entrega]],#REF!,20)</f>
        <v>#REF!</v>
      </c>
    </row>
    <row r="99" spans="1:20" x14ac:dyDescent="0.2">
      <c r="A99" s="1">
        <v>194671</v>
      </c>
      <c r="B99" s="4">
        <v>44833</v>
      </c>
      <c r="C99" s="1" t="s">
        <v>16</v>
      </c>
      <c r="D99" s="5">
        <v>0.68172453703703706</v>
      </c>
      <c r="E99" s="5">
        <v>0.81008101851851855</v>
      </c>
      <c r="F99" s="5">
        <v>0.83873842592592596</v>
      </c>
      <c r="G99" s="1">
        <v>800000266</v>
      </c>
      <c r="H99" s="1" t="s">
        <v>25</v>
      </c>
      <c r="I99" s="1" t="s">
        <v>182</v>
      </c>
      <c r="J99" s="5">
        <v>0.12835648148148149</v>
      </c>
      <c r="K99" s="5">
        <v>2.8657407407407406E-2</v>
      </c>
      <c r="L99" s="1" t="s">
        <v>183</v>
      </c>
      <c r="M99" s="1">
        <v>127445</v>
      </c>
      <c r="N99" s="1">
        <v>200249359</v>
      </c>
      <c r="O99" s="1">
        <v>1</v>
      </c>
      <c r="P99" s="3" t="e">
        <f>VLOOKUP(Tabla3[[#This Row],[Entrega]],#REF!,4)</f>
        <v>#REF!</v>
      </c>
      <c r="Q99" s="2" t="e">
        <f>VLOOKUP(Tabla3[[#This Row],[Entrega]],#REF!,5)</f>
        <v>#REF!</v>
      </c>
      <c r="R99" s="2" t="e">
        <f>VLOOKUP(Tabla3[[#This Row],[Entrega]],#REF!,7)</f>
        <v>#REF!</v>
      </c>
      <c r="S99" s="2" t="e">
        <f>VLOOKUP(Tabla3[[#This Row],[Entrega]],#REF!,19)</f>
        <v>#REF!</v>
      </c>
      <c r="T99" s="3" t="e">
        <f>VLOOKUP(Tabla3[[#This Row],[Entrega]],#REF!,20)</f>
        <v>#REF!</v>
      </c>
    </row>
    <row r="100" spans="1:20" x14ac:dyDescent="0.2">
      <c r="A100" s="1">
        <v>194670</v>
      </c>
      <c r="B100" s="4">
        <v>44833</v>
      </c>
      <c r="C100" s="1" t="s">
        <v>16</v>
      </c>
      <c r="D100" s="5">
        <v>0.67128472222222213</v>
      </c>
      <c r="E100" s="5">
        <v>0.78381944444444451</v>
      </c>
      <c r="F100" s="5">
        <v>0.82234953703703706</v>
      </c>
      <c r="G100" s="1">
        <v>800000013</v>
      </c>
      <c r="H100" s="1" t="s">
        <v>48</v>
      </c>
      <c r="I100" s="1" t="s">
        <v>132</v>
      </c>
      <c r="J100" s="5">
        <v>0.11253472222222222</v>
      </c>
      <c r="K100" s="5">
        <v>3.8530092592592595E-2</v>
      </c>
      <c r="L100" s="1" t="s">
        <v>133</v>
      </c>
      <c r="M100" s="1">
        <v>127444</v>
      </c>
      <c r="N100" s="1">
        <v>200249358</v>
      </c>
      <c r="O100" s="1">
        <v>1</v>
      </c>
      <c r="P100" s="3" t="e">
        <f>VLOOKUP(Tabla3[[#This Row],[Entrega]],#REF!,4)</f>
        <v>#REF!</v>
      </c>
      <c r="Q100" s="2" t="e">
        <f>VLOOKUP(Tabla3[[#This Row],[Entrega]],#REF!,5)</f>
        <v>#REF!</v>
      </c>
      <c r="R100" s="2" t="e">
        <f>VLOOKUP(Tabla3[[#This Row],[Entrega]],#REF!,7)</f>
        <v>#REF!</v>
      </c>
      <c r="S100" s="2" t="e">
        <f>VLOOKUP(Tabla3[[#This Row],[Entrega]],#REF!,19)</f>
        <v>#REF!</v>
      </c>
      <c r="T100" s="3" t="e">
        <f>VLOOKUP(Tabla3[[#This Row],[Entrega]],#REF!,20)</f>
        <v>#REF!</v>
      </c>
    </row>
    <row r="101" spans="1:20" x14ac:dyDescent="0.2">
      <c r="A101" s="1">
        <v>194441</v>
      </c>
      <c r="B101" s="4">
        <v>44832</v>
      </c>
      <c r="C101" s="1" t="s">
        <v>16</v>
      </c>
      <c r="D101" s="5">
        <v>0.28827546296296297</v>
      </c>
      <c r="E101" s="5">
        <v>0.37369212962962961</v>
      </c>
      <c r="F101" s="5">
        <v>0.40634259259259259</v>
      </c>
      <c r="G101" s="1">
        <v>800000670</v>
      </c>
      <c r="H101" s="1" t="s">
        <v>44</v>
      </c>
      <c r="I101" s="1" t="s">
        <v>34</v>
      </c>
      <c r="J101" s="5">
        <v>8.5416666666666655E-2</v>
      </c>
      <c r="K101" s="5">
        <v>3.2650462962962964E-2</v>
      </c>
      <c r="L101" s="1" t="s">
        <v>47</v>
      </c>
      <c r="M101" s="1">
        <v>55324</v>
      </c>
      <c r="N101" s="1">
        <v>83324244</v>
      </c>
      <c r="O101" s="1">
        <v>1</v>
      </c>
      <c r="P101" s="3" t="e">
        <f>VLOOKUP(Tabla3[[#This Row],[Entrega]],#REF!,4)</f>
        <v>#REF!</v>
      </c>
      <c r="Q101" s="2" t="e">
        <f>VLOOKUP(Tabla3[[#This Row],[Entrega]],#REF!,5)</f>
        <v>#REF!</v>
      </c>
      <c r="R101" s="2" t="e">
        <f>VLOOKUP(Tabla3[[#This Row],[Entrega]],#REF!,7)</f>
        <v>#REF!</v>
      </c>
      <c r="S101" s="2" t="e">
        <f>VLOOKUP(Tabla3[[#This Row],[Entrega]],#REF!,19)</f>
        <v>#REF!</v>
      </c>
      <c r="T101" s="3" t="e">
        <f>VLOOKUP(Tabla3[[#This Row],[Entrega]],#REF!,20)</f>
        <v>#REF!</v>
      </c>
    </row>
    <row r="102" spans="1:20" x14ac:dyDescent="0.2">
      <c r="A102" s="1">
        <v>194668</v>
      </c>
      <c r="B102" s="4">
        <v>44833</v>
      </c>
      <c r="C102" s="1" t="s">
        <v>16</v>
      </c>
      <c r="D102" s="5">
        <v>0.66087962962962965</v>
      </c>
      <c r="E102" s="5">
        <v>0.74440972222222224</v>
      </c>
      <c r="F102" s="5">
        <v>0.80890046296296303</v>
      </c>
      <c r="G102" s="1">
        <v>800000269</v>
      </c>
      <c r="H102" s="1" t="s">
        <v>36</v>
      </c>
      <c r="I102" s="1" t="s">
        <v>64</v>
      </c>
      <c r="J102" s="5">
        <v>8.3530092592592586E-2</v>
      </c>
      <c r="K102" s="5">
        <v>6.4490740740740737E-2</v>
      </c>
      <c r="L102" s="1" t="s">
        <v>65</v>
      </c>
      <c r="M102" s="1">
        <v>127443</v>
      </c>
      <c r="N102" s="1">
        <v>200249357</v>
      </c>
      <c r="O102" s="1">
        <v>1</v>
      </c>
      <c r="P102" s="3" t="e">
        <f>VLOOKUP(Tabla3[[#This Row],[Entrega]],#REF!,4)</f>
        <v>#REF!</v>
      </c>
      <c r="Q102" s="2" t="e">
        <f>VLOOKUP(Tabla3[[#This Row],[Entrega]],#REF!,5)</f>
        <v>#REF!</v>
      </c>
      <c r="R102" s="2" t="e">
        <f>VLOOKUP(Tabla3[[#This Row],[Entrega]],#REF!,7)</f>
        <v>#REF!</v>
      </c>
      <c r="S102" s="2" t="e">
        <f>VLOOKUP(Tabla3[[#This Row],[Entrega]],#REF!,19)</f>
        <v>#REF!</v>
      </c>
      <c r="T102" s="3" t="e">
        <f>VLOOKUP(Tabla3[[#This Row],[Entrega]],#REF!,20)</f>
        <v>#REF!</v>
      </c>
    </row>
    <row r="103" spans="1:20" x14ac:dyDescent="0.2">
      <c r="A103" s="1">
        <v>194661</v>
      </c>
      <c r="B103" s="4">
        <v>44833</v>
      </c>
      <c r="C103" s="1" t="s">
        <v>16</v>
      </c>
      <c r="D103" s="5">
        <v>0.57185185185185183</v>
      </c>
      <c r="E103" s="5">
        <v>0.72255787037037045</v>
      </c>
      <c r="F103" s="5">
        <v>0.80487268518518518</v>
      </c>
      <c r="G103" s="1">
        <v>800000268</v>
      </c>
      <c r="H103" s="1" t="s">
        <v>24</v>
      </c>
      <c r="I103" s="1" t="s">
        <v>185</v>
      </c>
      <c r="J103" s="5">
        <v>0.15070601851851853</v>
      </c>
      <c r="K103" s="5">
        <v>8.2314814814814813E-2</v>
      </c>
      <c r="L103" s="1" t="s">
        <v>186</v>
      </c>
      <c r="M103" s="1">
        <v>127442</v>
      </c>
      <c r="N103" s="1">
        <v>200249356</v>
      </c>
      <c r="O103" s="1">
        <v>1</v>
      </c>
      <c r="P103" s="3" t="e">
        <f>VLOOKUP(Tabla3[[#This Row],[Entrega]],#REF!,4)</f>
        <v>#REF!</v>
      </c>
      <c r="Q103" s="2" t="e">
        <f>VLOOKUP(Tabla3[[#This Row],[Entrega]],#REF!,5)</f>
        <v>#REF!</v>
      </c>
      <c r="R103" s="2" t="e">
        <f>VLOOKUP(Tabla3[[#This Row],[Entrega]],#REF!,7)</f>
        <v>#REF!</v>
      </c>
      <c r="S103" s="2" t="e">
        <f>VLOOKUP(Tabla3[[#This Row],[Entrega]],#REF!,19)</f>
        <v>#REF!</v>
      </c>
      <c r="T103" s="3" t="e">
        <f>VLOOKUP(Tabla3[[#This Row],[Entrega]],#REF!,20)</f>
        <v>#REF!</v>
      </c>
    </row>
    <row r="104" spans="1:20" x14ac:dyDescent="0.2">
      <c r="A104" s="1">
        <v>194343</v>
      </c>
      <c r="B104" s="4">
        <v>44831</v>
      </c>
      <c r="C104" s="1" t="s">
        <v>16</v>
      </c>
      <c r="D104" s="5">
        <v>0.30155092592592592</v>
      </c>
      <c r="E104" s="5">
        <v>0.39870370370370373</v>
      </c>
      <c r="F104" s="5">
        <v>0.4574537037037037</v>
      </c>
      <c r="G104" s="1">
        <v>800000891</v>
      </c>
      <c r="H104" s="1" t="s">
        <v>44</v>
      </c>
      <c r="I104" s="1" t="s">
        <v>34</v>
      </c>
      <c r="J104" s="5">
        <v>9.7152777777777768E-2</v>
      </c>
      <c r="K104" s="5">
        <v>5.8750000000000004E-2</v>
      </c>
      <c r="L104" s="1" t="s">
        <v>234</v>
      </c>
      <c r="M104" s="1">
        <v>55301</v>
      </c>
      <c r="N104" s="1">
        <v>83324122</v>
      </c>
      <c r="O104" s="1">
        <v>1</v>
      </c>
      <c r="P104" s="3" t="e">
        <f>VLOOKUP(Tabla3[[#This Row],[Entrega]],#REF!,4)</f>
        <v>#REF!</v>
      </c>
      <c r="Q104" s="2" t="e">
        <f>VLOOKUP(Tabla3[[#This Row],[Entrega]],#REF!,5)</f>
        <v>#REF!</v>
      </c>
      <c r="R104" s="2" t="e">
        <f>VLOOKUP(Tabla3[[#This Row],[Entrega]],#REF!,7)</f>
        <v>#REF!</v>
      </c>
      <c r="S104" s="2" t="e">
        <f>VLOOKUP(Tabla3[[#This Row],[Entrega]],#REF!,19)</f>
        <v>#REF!</v>
      </c>
      <c r="T104" s="3" t="e">
        <f>VLOOKUP(Tabla3[[#This Row],[Entrega]],#REF!,20)</f>
        <v>#REF!</v>
      </c>
    </row>
    <row r="105" spans="1:20" x14ac:dyDescent="0.2">
      <c r="A105" s="1">
        <v>194659</v>
      </c>
      <c r="B105" s="4">
        <v>44833</v>
      </c>
      <c r="C105" s="1" t="s">
        <v>16</v>
      </c>
      <c r="D105" s="5">
        <v>0.56196759259259255</v>
      </c>
      <c r="E105" s="5">
        <v>0.69032407407407403</v>
      </c>
      <c r="F105" s="5">
        <v>0.74341435185185178</v>
      </c>
      <c r="G105" s="1">
        <v>800000269</v>
      </c>
      <c r="H105" s="1" t="s">
        <v>36</v>
      </c>
      <c r="I105" s="1" t="s">
        <v>128</v>
      </c>
      <c r="J105" s="5">
        <v>0.12835648148148149</v>
      </c>
      <c r="K105" s="5">
        <v>5.3090277777777778E-2</v>
      </c>
      <c r="L105" s="1" t="s">
        <v>129</v>
      </c>
      <c r="M105" s="1">
        <v>127441</v>
      </c>
      <c r="N105" s="1">
        <v>200249355</v>
      </c>
      <c r="O105" s="1">
        <v>1</v>
      </c>
      <c r="P105" s="3" t="e">
        <f>VLOOKUP(Tabla3[[#This Row],[Entrega]],#REF!,4)</f>
        <v>#REF!</v>
      </c>
      <c r="Q105" s="2" t="e">
        <f>VLOOKUP(Tabla3[[#This Row],[Entrega]],#REF!,5)</f>
        <v>#REF!</v>
      </c>
      <c r="R105" s="2" t="e">
        <f>VLOOKUP(Tabla3[[#This Row],[Entrega]],#REF!,7)</f>
        <v>#REF!</v>
      </c>
      <c r="S105" s="2" t="e">
        <f>VLOOKUP(Tabla3[[#This Row],[Entrega]],#REF!,19)</f>
        <v>#REF!</v>
      </c>
      <c r="T105" s="3" t="e">
        <f>VLOOKUP(Tabla3[[#This Row],[Entrega]],#REF!,20)</f>
        <v>#REF!</v>
      </c>
    </row>
    <row r="106" spans="1:20" x14ac:dyDescent="0.2">
      <c r="A106" s="1">
        <v>194658</v>
      </c>
      <c r="B106" s="4">
        <v>44833</v>
      </c>
      <c r="C106" s="1" t="s">
        <v>16</v>
      </c>
      <c r="D106" s="5">
        <v>0.54700231481481476</v>
      </c>
      <c r="E106" s="5">
        <v>0.67403935185185182</v>
      </c>
      <c r="F106" s="5">
        <v>0.72304398148148152</v>
      </c>
      <c r="G106" s="1">
        <v>800000014</v>
      </c>
      <c r="H106" s="1" t="s">
        <v>29</v>
      </c>
      <c r="I106" s="1" t="s">
        <v>188</v>
      </c>
      <c r="J106" s="5">
        <v>0.12703703703703703</v>
      </c>
      <c r="K106" s="5">
        <v>4.9004629629629627E-2</v>
      </c>
      <c r="L106" s="1" t="s">
        <v>189</v>
      </c>
      <c r="M106" s="1">
        <v>127440</v>
      </c>
      <c r="N106" s="1">
        <v>200249354</v>
      </c>
      <c r="O106" s="1">
        <v>1</v>
      </c>
      <c r="P106" s="3" t="e">
        <f>VLOOKUP(Tabla3[[#This Row],[Entrega]],#REF!,4)</f>
        <v>#REF!</v>
      </c>
      <c r="Q106" s="2" t="e">
        <f>VLOOKUP(Tabla3[[#This Row],[Entrega]],#REF!,5)</f>
        <v>#REF!</v>
      </c>
      <c r="R106" s="2" t="e">
        <f>VLOOKUP(Tabla3[[#This Row],[Entrega]],#REF!,7)</f>
        <v>#REF!</v>
      </c>
      <c r="S106" s="2" t="e">
        <f>VLOOKUP(Tabla3[[#This Row],[Entrega]],#REF!,19)</f>
        <v>#REF!</v>
      </c>
      <c r="T106" s="3" t="e">
        <f>VLOOKUP(Tabla3[[#This Row],[Entrega]],#REF!,20)</f>
        <v>#REF!</v>
      </c>
    </row>
    <row r="107" spans="1:20" x14ac:dyDescent="0.2">
      <c r="A107" s="1">
        <v>194657</v>
      </c>
      <c r="B107" s="4">
        <v>44833</v>
      </c>
      <c r="C107" s="1" t="s">
        <v>16</v>
      </c>
      <c r="D107" s="5">
        <v>0.51313657407407409</v>
      </c>
      <c r="E107" s="5">
        <v>0.66723379629629631</v>
      </c>
      <c r="F107" s="5">
        <v>0.71005787037037038</v>
      </c>
      <c r="G107" s="1">
        <v>800000268</v>
      </c>
      <c r="H107" s="1" t="s">
        <v>24</v>
      </c>
      <c r="I107" s="1" t="s">
        <v>190</v>
      </c>
      <c r="J107" s="5">
        <v>0.15409722222222222</v>
      </c>
      <c r="K107" s="5">
        <v>4.282407407407407E-2</v>
      </c>
      <c r="L107" s="1" t="s">
        <v>191</v>
      </c>
      <c r="M107" s="1">
        <v>127438</v>
      </c>
      <c r="N107" s="1">
        <v>200249349</v>
      </c>
      <c r="O107" s="1">
        <v>1</v>
      </c>
      <c r="P107" s="3" t="e">
        <f>VLOOKUP(Tabla3[[#This Row],[Entrega]],#REF!,4)</f>
        <v>#REF!</v>
      </c>
      <c r="Q107" s="2" t="e">
        <f>VLOOKUP(Tabla3[[#This Row],[Entrega]],#REF!,5)</f>
        <v>#REF!</v>
      </c>
      <c r="R107" s="2" t="e">
        <f>VLOOKUP(Tabla3[[#This Row],[Entrega]],#REF!,7)</f>
        <v>#REF!</v>
      </c>
      <c r="S107" s="2" t="e">
        <f>VLOOKUP(Tabla3[[#This Row],[Entrega]],#REF!,19)</f>
        <v>#REF!</v>
      </c>
      <c r="T107" s="3" t="e">
        <f>VLOOKUP(Tabla3[[#This Row],[Entrega]],#REF!,20)</f>
        <v>#REF!</v>
      </c>
    </row>
    <row r="108" spans="1:20" x14ac:dyDescent="0.2">
      <c r="A108" s="1">
        <v>194656</v>
      </c>
      <c r="B108" s="4">
        <v>44833</v>
      </c>
      <c r="C108" s="1" t="s">
        <v>16</v>
      </c>
      <c r="D108" s="5">
        <v>0.50822916666666662</v>
      </c>
      <c r="E108" s="5">
        <v>0.62003472222222222</v>
      </c>
      <c r="F108" s="5">
        <v>0.69938657407407412</v>
      </c>
      <c r="G108" s="1">
        <v>800000268</v>
      </c>
      <c r="H108" s="1" t="s">
        <v>24</v>
      </c>
      <c r="I108" s="1" t="s">
        <v>192</v>
      </c>
      <c r="J108" s="5">
        <v>0.11180555555555556</v>
      </c>
      <c r="K108" s="5">
        <v>7.9351851851851854E-2</v>
      </c>
      <c r="L108" s="1" t="s">
        <v>193</v>
      </c>
      <c r="M108" s="1">
        <v>127437</v>
      </c>
      <c r="N108" s="1">
        <v>200249344</v>
      </c>
      <c r="O108" s="1">
        <v>1</v>
      </c>
      <c r="P108" s="3" t="e">
        <f>VLOOKUP(Tabla3[[#This Row],[Entrega]],#REF!,4)</f>
        <v>#REF!</v>
      </c>
      <c r="Q108" s="2" t="e">
        <f>VLOOKUP(Tabla3[[#This Row],[Entrega]],#REF!,5)</f>
        <v>#REF!</v>
      </c>
      <c r="R108" s="2" t="e">
        <f>VLOOKUP(Tabla3[[#This Row],[Entrega]],#REF!,7)</f>
        <v>#REF!</v>
      </c>
      <c r="S108" s="2" t="e">
        <f>VLOOKUP(Tabla3[[#This Row],[Entrega]],#REF!,19)</f>
        <v>#REF!</v>
      </c>
      <c r="T108" s="3" t="e">
        <f>VLOOKUP(Tabla3[[#This Row],[Entrega]],#REF!,20)</f>
        <v>#REF!</v>
      </c>
    </row>
    <row r="109" spans="1:20" x14ac:dyDescent="0.2">
      <c r="A109" s="1">
        <v>194655</v>
      </c>
      <c r="B109" s="4">
        <v>44833</v>
      </c>
      <c r="C109" s="1" t="s">
        <v>87</v>
      </c>
      <c r="D109" s="5">
        <v>0.61692129629629633</v>
      </c>
      <c r="E109" s="5">
        <v>0.65312500000000007</v>
      </c>
      <c r="F109" s="5">
        <v>0.67550925925925931</v>
      </c>
      <c r="G109" s="1">
        <v>800000026</v>
      </c>
      <c r="H109" s="1" t="s">
        <v>44</v>
      </c>
      <c r="I109" s="1" t="s">
        <v>67</v>
      </c>
      <c r="J109" s="5">
        <v>3.6203703703703703E-2</v>
      </c>
      <c r="K109" s="5">
        <v>2.238425925925926E-2</v>
      </c>
      <c r="L109" s="1" t="s">
        <v>98</v>
      </c>
      <c r="M109" s="1">
        <v>127436</v>
      </c>
      <c r="N109" s="1">
        <v>200249351</v>
      </c>
      <c r="O109" s="1">
        <v>1</v>
      </c>
      <c r="P109" s="3" t="e">
        <f>VLOOKUP(Tabla3[[#This Row],[Entrega]],#REF!,4)</f>
        <v>#REF!</v>
      </c>
      <c r="Q109" s="2" t="e">
        <f>VLOOKUP(Tabla3[[#This Row],[Entrega]],#REF!,5)</f>
        <v>#REF!</v>
      </c>
      <c r="R109" s="2" t="e">
        <f>VLOOKUP(Tabla3[[#This Row],[Entrega]],#REF!,7)</f>
        <v>#REF!</v>
      </c>
      <c r="S109" s="2" t="e">
        <f>VLOOKUP(Tabla3[[#This Row],[Entrega]],#REF!,19)</f>
        <v>#REF!</v>
      </c>
      <c r="T109" s="3" t="e">
        <f>VLOOKUP(Tabla3[[#This Row],[Entrega]],#REF!,20)</f>
        <v>#REF!</v>
      </c>
    </row>
    <row r="110" spans="1:20" x14ac:dyDescent="0.2">
      <c r="A110" s="1">
        <v>194654</v>
      </c>
      <c r="B110" s="4">
        <v>44833</v>
      </c>
      <c r="C110" s="1" t="s">
        <v>87</v>
      </c>
      <c r="D110" s="5">
        <v>0.59305555555555556</v>
      </c>
      <c r="E110" s="5">
        <v>0.59663194444444445</v>
      </c>
      <c r="F110" s="5">
        <v>0.62162037037037032</v>
      </c>
      <c r="G110" s="1">
        <v>800000891</v>
      </c>
      <c r="H110" s="1" t="s">
        <v>44</v>
      </c>
      <c r="I110" s="1" t="s">
        <v>88</v>
      </c>
      <c r="J110" s="5">
        <v>3.5763888888888894E-3</v>
      </c>
      <c r="K110" s="5">
        <v>2.4988425925925928E-2</v>
      </c>
      <c r="L110" s="1" t="s">
        <v>82</v>
      </c>
      <c r="M110" s="1">
        <v>55359</v>
      </c>
      <c r="N110" s="1">
        <v>83324497</v>
      </c>
      <c r="O110" s="1">
        <v>1</v>
      </c>
      <c r="P110" s="3" t="e">
        <f>VLOOKUP(Tabla3[[#This Row],[Entrega]],#REF!,4)</f>
        <v>#REF!</v>
      </c>
      <c r="Q110" s="2" t="e">
        <f>VLOOKUP(Tabla3[[#This Row],[Entrega]],#REF!,5)</f>
        <v>#REF!</v>
      </c>
      <c r="R110" s="2" t="e">
        <f>VLOOKUP(Tabla3[[#This Row],[Entrega]],#REF!,7)</f>
        <v>#REF!</v>
      </c>
      <c r="S110" s="2" t="e">
        <f>VLOOKUP(Tabla3[[#This Row],[Entrega]],#REF!,19)</f>
        <v>#REF!</v>
      </c>
      <c r="T110" s="3" t="e">
        <f>VLOOKUP(Tabla3[[#This Row],[Entrega]],#REF!,20)</f>
        <v>#REF!</v>
      </c>
    </row>
    <row r="111" spans="1:20" x14ac:dyDescent="0.2">
      <c r="A111" s="1">
        <v>194653</v>
      </c>
      <c r="B111" s="4">
        <v>44833</v>
      </c>
      <c r="C111" s="1" t="s">
        <v>16</v>
      </c>
      <c r="D111" s="5">
        <v>0.47055555555555556</v>
      </c>
      <c r="E111" s="5">
        <v>0.56846064814814812</v>
      </c>
      <c r="F111" s="5">
        <v>0.6166666666666667</v>
      </c>
      <c r="G111" s="1">
        <v>800000265</v>
      </c>
      <c r="H111" s="1" t="s">
        <v>194</v>
      </c>
      <c r="I111" s="1" t="s">
        <v>149</v>
      </c>
      <c r="J111" s="5">
        <v>9.7905092592592599E-2</v>
      </c>
      <c r="K111" s="5">
        <v>4.8206018518518523E-2</v>
      </c>
      <c r="L111" s="1" t="s">
        <v>150</v>
      </c>
      <c r="M111" s="1">
        <v>127434</v>
      </c>
      <c r="N111" s="1">
        <v>200249342</v>
      </c>
      <c r="O111" s="1">
        <v>1</v>
      </c>
      <c r="P111" s="3" t="e">
        <f>VLOOKUP(Tabla3[[#This Row],[Entrega]],#REF!,4)</f>
        <v>#REF!</v>
      </c>
      <c r="Q111" s="2" t="e">
        <f>VLOOKUP(Tabla3[[#This Row],[Entrega]],#REF!,5)</f>
        <v>#REF!</v>
      </c>
      <c r="R111" s="2" t="e">
        <f>VLOOKUP(Tabla3[[#This Row],[Entrega]],#REF!,7)</f>
        <v>#REF!</v>
      </c>
      <c r="S111" s="2" t="e">
        <f>VLOOKUP(Tabla3[[#This Row],[Entrega]],#REF!,19)</f>
        <v>#REF!</v>
      </c>
      <c r="T111" s="3" t="e">
        <f>VLOOKUP(Tabla3[[#This Row],[Entrega]],#REF!,20)</f>
        <v>#REF!</v>
      </c>
    </row>
    <row r="112" spans="1:20" x14ac:dyDescent="0.2">
      <c r="A112" s="1">
        <v>194652</v>
      </c>
      <c r="B112" s="4">
        <v>44833</v>
      </c>
      <c r="C112" s="1" t="s">
        <v>87</v>
      </c>
      <c r="D112" s="5">
        <v>0.53342592592592586</v>
      </c>
      <c r="E112" s="5">
        <v>0.56223379629629633</v>
      </c>
      <c r="F112" s="5">
        <v>0.58118055555555559</v>
      </c>
      <c r="G112" s="1">
        <v>800000891</v>
      </c>
      <c r="H112" s="1" t="s">
        <v>44</v>
      </c>
      <c r="I112" s="1" t="s">
        <v>46</v>
      </c>
      <c r="J112" s="5">
        <v>2.8807870370370373E-2</v>
      </c>
      <c r="K112" s="5">
        <v>1.894675925925926E-2</v>
      </c>
      <c r="L112" s="1" t="s">
        <v>76</v>
      </c>
      <c r="M112" s="1">
        <v>55358</v>
      </c>
      <c r="N112" s="1">
        <v>83324493</v>
      </c>
      <c r="O112" s="1">
        <v>1</v>
      </c>
      <c r="P112" s="3" t="e">
        <f>VLOOKUP(Tabla3[[#This Row],[Entrega]],#REF!,4)</f>
        <v>#REF!</v>
      </c>
      <c r="Q112" s="2" t="e">
        <f>VLOOKUP(Tabla3[[#This Row],[Entrega]],#REF!,5)</f>
        <v>#REF!</v>
      </c>
      <c r="R112" s="2" t="e">
        <f>VLOOKUP(Tabla3[[#This Row],[Entrega]],#REF!,7)</f>
        <v>#REF!</v>
      </c>
      <c r="S112" s="2" t="e">
        <f>VLOOKUP(Tabla3[[#This Row],[Entrega]],#REF!,19)</f>
        <v>#REF!</v>
      </c>
      <c r="T112" s="3" t="e">
        <f>VLOOKUP(Tabla3[[#This Row],[Entrega]],#REF!,20)</f>
        <v>#REF!</v>
      </c>
    </row>
    <row r="113" spans="1:20" x14ac:dyDescent="0.2">
      <c r="A113" s="1">
        <v>194651</v>
      </c>
      <c r="B113" s="4">
        <v>44833</v>
      </c>
      <c r="C113" s="1" t="s">
        <v>87</v>
      </c>
      <c r="D113" s="5">
        <v>0.51916666666666667</v>
      </c>
      <c r="E113" s="5">
        <v>0.55449074074074078</v>
      </c>
      <c r="F113" s="5">
        <v>0.5715972222222222</v>
      </c>
      <c r="G113" s="1">
        <v>800000891</v>
      </c>
      <c r="H113" s="1" t="s">
        <v>44</v>
      </c>
      <c r="I113" s="1" t="s">
        <v>45</v>
      </c>
      <c r="J113" s="5">
        <v>3.532407407407407E-2</v>
      </c>
      <c r="K113" s="5">
        <v>1.7106481481481483E-2</v>
      </c>
      <c r="L113" s="1" t="s">
        <v>160</v>
      </c>
      <c r="M113" s="1">
        <v>55356</v>
      </c>
      <c r="N113" s="1">
        <v>83324485</v>
      </c>
      <c r="O113" s="1">
        <v>1</v>
      </c>
      <c r="P113" s="3" t="e">
        <f>VLOOKUP(Tabla3[[#This Row],[Entrega]],#REF!,4)</f>
        <v>#REF!</v>
      </c>
      <c r="Q113" s="2" t="e">
        <f>VLOOKUP(Tabla3[[#This Row],[Entrega]],#REF!,5)</f>
        <v>#REF!</v>
      </c>
      <c r="R113" s="2" t="e">
        <f>VLOOKUP(Tabla3[[#This Row],[Entrega]],#REF!,7)</f>
        <v>#REF!</v>
      </c>
      <c r="S113" s="2" t="e">
        <f>VLOOKUP(Tabla3[[#This Row],[Entrega]],#REF!,19)</f>
        <v>#REF!</v>
      </c>
      <c r="T113" s="3" t="e">
        <f>VLOOKUP(Tabla3[[#This Row],[Entrega]],#REF!,20)</f>
        <v>#REF!</v>
      </c>
    </row>
    <row r="114" spans="1:20" x14ac:dyDescent="0.2">
      <c r="A114" s="1">
        <v>194650</v>
      </c>
      <c r="B114" s="4">
        <v>44833</v>
      </c>
      <c r="C114" s="1" t="s">
        <v>87</v>
      </c>
      <c r="D114" s="5">
        <v>0.49299768518518516</v>
      </c>
      <c r="E114" s="5">
        <v>0.53164351851851854</v>
      </c>
      <c r="F114" s="5">
        <v>0.55815972222222221</v>
      </c>
      <c r="G114" s="1">
        <v>800000891</v>
      </c>
      <c r="H114" s="1" t="s">
        <v>44</v>
      </c>
      <c r="I114" s="1" t="s">
        <v>67</v>
      </c>
      <c r="J114" s="5">
        <v>3.8645833333333331E-2</v>
      </c>
      <c r="K114" s="5">
        <v>2.6516203703703698E-2</v>
      </c>
      <c r="L114" s="1" t="s">
        <v>98</v>
      </c>
      <c r="M114" s="1">
        <v>55355</v>
      </c>
      <c r="N114" s="1">
        <v>83324482</v>
      </c>
      <c r="O114" s="1">
        <v>1</v>
      </c>
      <c r="P114" s="3" t="e">
        <f>VLOOKUP(Tabla3[[#This Row],[Entrega]],#REF!,4)</f>
        <v>#REF!</v>
      </c>
      <c r="Q114" s="2" t="e">
        <f>VLOOKUP(Tabla3[[#This Row],[Entrega]],#REF!,5)</f>
        <v>#REF!</v>
      </c>
      <c r="R114" s="2" t="e">
        <f>VLOOKUP(Tabla3[[#This Row],[Entrega]],#REF!,7)</f>
        <v>#REF!</v>
      </c>
      <c r="S114" s="2" t="e">
        <f>VLOOKUP(Tabla3[[#This Row],[Entrega]],#REF!,19)</f>
        <v>#REF!</v>
      </c>
      <c r="T114" s="3" t="e">
        <f>VLOOKUP(Tabla3[[#This Row],[Entrega]],#REF!,20)</f>
        <v>#REF!</v>
      </c>
    </row>
    <row r="115" spans="1:20" x14ac:dyDescent="0.2">
      <c r="A115" s="1">
        <v>194649</v>
      </c>
      <c r="B115" s="4">
        <v>44833</v>
      </c>
      <c r="C115" s="1" t="s">
        <v>16</v>
      </c>
      <c r="D115" s="5">
        <v>0.41072916666666665</v>
      </c>
      <c r="E115" s="5">
        <v>0.49326388888888889</v>
      </c>
      <c r="F115" s="5">
        <v>0.54694444444444446</v>
      </c>
      <c r="G115" s="1">
        <v>800000266</v>
      </c>
      <c r="H115" s="1" t="s">
        <v>25</v>
      </c>
      <c r="I115" s="1" t="s">
        <v>151</v>
      </c>
      <c r="J115" s="5">
        <v>8.2534722222222232E-2</v>
      </c>
      <c r="K115" s="5">
        <v>5.3680555555555558E-2</v>
      </c>
      <c r="L115" s="1" t="s">
        <v>152</v>
      </c>
      <c r="M115" s="1">
        <v>127433</v>
      </c>
      <c r="N115" s="1">
        <v>200249340</v>
      </c>
      <c r="O115" s="1">
        <v>1</v>
      </c>
      <c r="P115" s="3" t="e">
        <f>VLOOKUP(Tabla3[[#This Row],[Entrega]],#REF!,4)</f>
        <v>#REF!</v>
      </c>
      <c r="Q115" s="2" t="e">
        <f>VLOOKUP(Tabla3[[#This Row],[Entrega]],#REF!,5)</f>
        <v>#REF!</v>
      </c>
      <c r="R115" s="2" t="e">
        <f>VLOOKUP(Tabla3[[#This Row],[Entrega]],#REF!,7)</f>
        <v>#REF!</v>
      </c>
      <c r="S115" s="2" t="e">
        <f>VLOOKUP(Tabla3[[#This Row],[Entrega]],#REF!,19)</f>
        <v>#REF!</v>
      </c>
      <c r="T115" s="3" t="e">
        <f>VLOOKUP(Tabla3[[#This Row],[Entrega]],#REF!,20)</f>
        <v>#REF!</v>
      </c>
    </row>
    <row r="116" spans="1:20" x14ac:dyDescent="0.2">
      <c r="A116" s="1">
        <v>194648</v>
      </c>
      <c r="B116" s="4">
        <v>44833</v>
      </c>
      <c r="C116" s="1" t="s">
        <v>18</v>
      </c>
      <c r="D116" s="5">
        <v>0.47567129629629629</v>
      </c>
      <c r="E116" s="5">
        <v>0.4830787037037037</v>
      </c>
      <c r="F116" s="5">
        <v>0.53333333333333333</v>
      </c>
      <c r="G116" s="1">
        <v>800000306</v>
      </c>
      <c r="H116" s="1" t="s">
        <v>54</v>
      </c>
      <c r="I116" s="1" t="s">
        <v>195</v>
      </c>
      <c r="J116" s="5">
        <v>7.4074074074074068E-3</v>
      </c>
      <c r="K116" s="5">
        <v>5.0254629629629628E-2</v>
      </c>
      <c r="L116" s="1" t="s">
        <v>196</v>
      </c>
      <c r="M116" s="1">
        <v>127432</v>
      </c>
      <c r="N116" s="1">
        <v>200249341</v>
      </c>
      <c r="O116" s="1">
        <v>1</v>
      </c>
      <c r="P116" s="3" t="e">
        <f>VLOOKUP(Tabla3[[#This Row],[Entrega]],#REF!,4)</f>
        <v>#REF!</v>
      </c>
      <c r="Q116" s="2" t="e">
        <f>VLOOKUP(Tabla3[[#This Row],[Entrega]],#REF!,5)</f>
        <v>#REF!</v>
      </c>
      <c r="R116" s="2" t="e">
        <f>VLOOKUP(Tabla3[[#This Row],[Entrega]],#REF!,7)</f>
        <v>#REF!</v>
      </c>
      <c r="S116" s="2" t="e">
        <f>VLOOKUP(Tabla3[[#This Row],[Entrega]],#REF!,19)</f>
        <v>#REF!</v>
      </c>
      <c r="T116" s="3" t="e">
        <f>VLOOKUP(Tabla3[[#This Row],[Entrega]],#REF!,20)</f>
        <v>#REF!</v>
      </c>
    </row>
    <row r="117" spans="1:20" x14ac:dyDescent="0.2">
      <c r="A117" s="1">
        <v>194647</v>
      </c>
      <c r="B117" s="4">
        <v>44833</v>
      </c>
      <c r="C117" s="1" t="s">
        <v>87</v>
      </c>
      <c r="D117" s="5">
        <v>0.46486111111111111</v>
      </c>
      <c r="E117" s="5">
        <v>0.47092592592592591</v>
      </c>
      <c r="F117" s="5">
        <v>0.53031249999999996</v>
      </c>
      <c r="G117" s="1">
        <v>800000891</v>
      </c>
      <c r="H117" s="1" t="s">
        <v>44</v>
      </c>
      <c r="I117" s="1" t="s">
        <v>88</v>
      </c>
      <c r="J117" s="5">
        <v>6.0648148148148145E-3</v>
      </c>
      <c r="K117" s="5">
        <v>5.9386574074074071E-2</v>
      </c>
      <c r="L117" s="1" t="s">
        <v>82</v>
      </c>
      <c r="M117" s="1">
        <v>55353</v>
      </c>
      <c r="N117" s="1">
        <v>83324468</v>
      </c>
      <c r="O117" s="1">
        <v>1</v>
      </c>
      <c r="P117" s="3" t="e">
        <f>VLOOKUP(Tabla3[[#This Row],[Entrega]],#REF!,4)</f>
        <v>#REF!</v>
      </c>
      <c r="Q117" s="2" t="e">
        <f>VLOOKUP(Tabla3[[#This Row],[Entrega]],#REF!,5)</f>
        <v>#REF!</v>
      </c>
      <c r="R117" s="2" t="e">
        <f>VLOOKUP(Tabla3[[#This Row],[Entrega]],#REF!,7)</f>
        <v>#REF!</v>
      </c>
      <c r="S117" s="2" t="e">
        <f>VLOOKUP(Tabla3[[#This Row],[Entrega]],#REF!,19)</f>
        <v>#REF!</v>
      </c>
      <c r="T117" s="3" t="e">
        <f>VLOOKUP(Tabla3[[#This Row],[Entrega]],#REF!,20)</f>
        <v>#REF!</v>
      </c>
    </row>
    <row r="118" spans="1:20" x14ac:dyDescent="0.2">
      <c r="A118" s="1">
        <v>194646</v>
      </c>
      <c r="B118" s="4">
        <v>44833</v>
      </c>
      <c r="C118" s="1" t="s">
        <v>18</v>
      </c>
      <c r="D118" s="5">
        <v>0.43657407407407406</v>
      </c>
      <c r="E118" s="5">
        <v>0.44681712962962966</v>
      </c>
      <c r="F118" s="5">
        <v>0.51754629629629634</v>
      </c>
      <c r="G118" s="1">
        <v>800000000</v>
      </c>
      <c r="H118" s="1" t="s">
        <v>20</v>
      </c>
      <c r="I118" s="1" t="s">
        <v>197</v>
      </c>
      <c r="J118" s="5">
        <v>1.0243055555555556E-2</v>
      </c>
      <c r="K118" s="5">
        <v>7.0729166666666662E-2</v>
      </c>
      <c r="L118" s="1" t="s">
        <v>198</v>
      </c>
      <c r="M118" s="1">
        <v>127431</v>
      </c>
      <c r="N118" s="1">
        <v>200249339</v>
      </c>
      <c r="O118" s="1">
        <v>1</v>
      </c>
      <c r="P118" s="3" t="e">
        <f>VLOOKUP(Tabla3[[#This Row],[Entrega]],#REF!,4)</f>
        <v>#REF!</v>
      </c>
      <c r="Q118" s="2" t="e">
        <f>VLOOKUP(Tabla3[[#This Row],[Entrega]],#REF!,5)</f>
        <v>#REF!</v>
      </c>
      <c r="R118" s="2" t="e">
        <f>VLOOKUP(Tabla3[[#This Row],[Entrega]],#REF!,7)</f>
        <v>#REF!</v>
      </c>
      <c r="S118" s="2" t="e">
        <f>VLOOKUP(Tabla3[[#This Row],[Entrega]],#REF!,19)</f>
        <v>#REF!</v>
      </c>
      <c r="T118" s="3" t="e">
        <f>VLOOKUP(Tabla3[[#This Row],[Entrega]],#REF!,20)</f>
        <v>#REF!</v>
      </c>
    </row>
    <row r="119" spans="1:20" x14ac:dyDescent="0.2">
      <c r="A119" s="1">
        <v>194645</v>
      </c>
      <c r="B119" s="4">
        <v>44833</v>
      </c>
      <c r="C119" s="1" t="s">
        <v>87</v>
      </c>
      <c r="D119" s="5">
        <v>0.45060185185185181</v>
      </c>
      <c r="E119" s="5">
        <v>0.45810185185185182</v>
      </c>
      <c r="F119" s="5">
        <v>0.47762731481481485</v>
      </c>
      <c r="G119" s="1">
        <v>800000891</v>
      </c>
      <c r="H119" s="1" t="s">
        <v>44</v>
      </c>
      <c r="I119" s="1" t="s">
        <v>46</v>
      </c>
      <c r="J119" s="5">
        <v>7.5000000000000006E-3</v>
      </c>
      <c r="K119" s="5">
        <v>1.9525462962962963E-2</v>
      </c>
      <c r="L119" s="1" t="s">
        <v>76</v>
      </c>
      <c r="M119" s="1">
        <v>55352</v>
      </c>
      <c r="N119" s="1">
        <v>83324467</v>
      </c>
      <c r="O119" s="1">
        <v>1</v>
      </c>
      <c r="P119" s="3" t="e">
        <f>VLOOKUP(Tabla3[[#This Row],[Entrega]],#REF!,4)</f>
        <v>#REF!</v>
      </c>
      <c r="Q119" s="2" t="e">
        <f>VLOOKUP(Tabla3[[#This Row],[Entrega]],#REF!,5)</f>
        <v>#REF!</v>
      </c>
      <c r="R119" s="2" t="e">
        <f>VLOOKUP(Tabla3[[#This Row],[Entrega]],#REF!,7)</f>
        <v>#REF!</v>
      </c>
      <c r="S119" s="2" t="e">
        <f>VLOOKUP(Tabla3[[#This Row],[Entrega]],#REF!,19)</f>
        <v>#REF!</v>
      </c>
      <c r="T119" s="3" t="e">
        <f>VLOOKUP(Tabla3[[#This Row],[Entrega]],#REF!,20)</f>
        <v>#REF!</v>
      </c>
    </row>
    <row r="120" spans="1:20" x14ac:dyDescent="0.2">
      <c r="A120" s="1">
        <v>194644</v>
      </c>
      <c r="B120" s="4">
        <v>44833</v>
      </c>
      <c r="C120" s="1" t="s">
        <v>87</v>
      </c>
      <c r="D120" s="5">
        <v>0.44777777777777777</v>
      </c>
      <c r="E120" s="5">
        <v>0.45185185185185189</v>
      </c>
      <c r="F120" s="5">
        <v>0.46152777777777776</v>
      </c>
      <c r="G120" s="1">
        <v>800000891</v>
      </c>
      <c r="H120" s="1" t="s">
        <v>44</v>
      </c>
      <c r="I120" s="1" t="s">
        <v>45</v>
      </c>
      <c r="J120" s="5">
        <v>4.0740740740740746E-3</v>
      </c>
      <c r="K120" s="5">
        <v>9.6759259259259264E-3</v>
      </c>
      <c r="L120" s="1" t="s">
        <v>160</v>
      </c>
      <c r="M120" s="1">
        <v>55351</v>
      </c>
      <c r="N120" s="1">
        <v>83324463</v>
      </c>
      <c r="O120" s="1">
        <v>1</v>
      </c>
      <c r="P120" s="3" t="e">
        <f>VLOOKUP(Tabla3[[#This Row],[Entrega]],#REF!,4)</f>
        <v>#REF!</v>
      </c>
      <c r="Q120" s="2" t="e">
        <f>VLOOKUP(Tabla3[[#This Row],[Entrega]],#REF!,5)</f>
        <v>#REF!</v>
      </c>
      <c r="R120" s="2" t="e">
        <f>VLOOKUP(Tabla3[[#This Row],[Entrega]],#REF!,7)</f>
        <v>#REF!</v>
      </c>
      <c r="S120" s="2" t="e">
        <f>VLOOKUP(Tabla3[[#This Row],[Entrega]],#REF!,19)</f>
        <v>#REF!</v>
      </c>
      <c r="T120" s="3" t="e">
        <f>VLOOKUP(Tabla3[[#This Row],[Entrega]],#REF!,20)</f>
        <v>#REF!</v>
      </c>
    </row>
    <row r="121" spans="1:20" x14ac:dyDescent="0.2">
      <c r="A121" s="1">
        <v>194643</v>
      </c>
      <c r="B121" s="4">
        <v>44833</v>
      </c>
      <c r="C121" s="1" t="s">
        <v>18</v>
      </c>
      <c r="D121" s="5">
        <v>0.3999537037037037</v>
      </c>
      <c r="E121" s="5">
        <v>0.41103009259259254</v>
      </c>
      <c r="F121" s="5">
        <v>0.45615740740740746</v>
      </c>
      <c r="G121" s="1">
        <v>800000440</v>
      </c>
      <c r="H121" s="1" t="s">
        <v>50</v>
      </c>
      <c r="I121" s="1" t="s">
        <v>199</v>
      </c>
      <c r="J121" s="5">
        <v>1.1076388888888887E-2</v>
      </c>
      <c r="K121" s="5">
        <v>4.5127314814814821E-2</v>
      </c>
      <c r="L121" s="1" t="s">
        <v>200</v>
      </c>
      <c r="M121" s="1">
        <v>127430</v>
      </c>
      <c r="N121" s="1">
        <v>200249338</v>
      </c>
      <c r="O121" s="1">
        <v>1</v>
      </c>
      <c r="P121" s="3" t="e">
        <f>VLOOKUP(Tabla3[[#This Row],[Entrega]],#REF!,4)</f>
        <v>#REF!</v>
      </c>
      <c r="Q121" s="2" t="e">
        <f>VLOOKUP(Tabla3[[#This Row],[Entrega]],#REF!,5)</f>
        <v>#REF!</v>
      </c>
      <c r="R121" s="2" t="e">
        <f>VLOOKUP(Tabla3[[#This Row],[Entrega]],#REF!,7)</f>
        <v>#REF!</v>
      </c>
      <c r="S121" s="2" t="e">
        <f>VLOOKUP(Tabla3[[#This Row],[Entrega]],#REF!,19)</f>
        <v>#REF!</v>
      </c>
      <c r="T121" s="3" t="e">
        <f>VLOOKUP(Tabla3[[#This Row],[Entrega]],#REF!,20)</f>
        <v>#REF!</v>
      </c>
    </row>
    <row r="122" spans="1:20" x14ac:dyDescent="0.2">
      <c r="A122" s="1">
        <v>194642</v>
      </c>
      <c r="B122" s="4">
        <v>44833</v>
      </c>
      <c r="C122" s="1" t="s">
        <v>87</v>
      </c>
      <c r="D122" s="5">
        <v>0.4143634259259259</v>
      </c>
      <c r="E122" s="5">
        <v>0.41921296296296301</v>
      </c>
      <c r="F122" s="5">
        <v>0.43637731481481484</v>
      </c>
      <c r="G122" s="1">
        <v>800000891</v>
      </c>
      <c r="H122" s="1" t="s">
        <v>44</v>
      </c>
      <c r="I122" s="1" t="s">
        <v>67</v>
      </c>
      <c r="J122" s="5">
        <v>4.8495370370370368E-3</v>
      </c>
      <c r="K122" s="5">
        <v>1.7164351851851851E-2</v>
      </c>
      <c r="L122" s="1" t="s">
        <v>98</v>
      </c>
      <c r="M122" s="1">
        <v>55350</v>
      </c>
      <c r="N122" s="1">
        <v>83324453</v>
      </c>
      <c r="O122" s="1">
        <v>1</v>
      </c>
      <c r="P122" s="3" t="e">
        <f>VLOOKUP(Tabla3[[#This Row],[Entrega]],#REF!,4)</f>
        <v>#REF!</v>
      </c>
      <c r="Q122" s="2" t="e">
        <f>VLOOKUP(Tabla3[[#This Row],[Entrega]],#REF!,5)</f>
        <v>#REF!</v>
      </c>
      <c r="R122" s="2" t="e">
        <f>VLOOKUP(Tabla3[[#This Row],[Entrega]],#REF!,7)</f>
        <v>#REF!</v>
      </c>
      <c r="S122" s="2" t="e">
        <f>VLOOKUP(Tabla3[[#This Row],[Entrega]],#REF!,19)</f>
        <v>#REF!</v>
      </c>
      <c r="T122" s="3" t="e">
        <f>VLOOKUP(Tabla3[[#This Row],[Entrega]],#REF!,20)</f>
        <v>#REF!</v>
      </c>
    </row>
    <row r="123" spans="1:20" x14ac:dyDescent="0.2">
      <c r="A123" s="1">
        <v>194641</v>
      </c>
      <c r="B123" s="4">
        <v>44833</v>
      </c>
      <c r="C123" s="1" t="s">
        <v>18</v>
      </c>
      <c r="D123" s="5">
        <v>0.37938657407407406</v>
      </c>
      <c r="E123" s="5">
        <v>0.38458333333333333</v>
      </c>
      <c r="F123" s="5">
        <v>0.41047453703703707</v>
      </c>
      <c r="G123" s="1">
        <v>800000000</v>
      </c>
      <c r="H123" s="1" t="s">
        <v>20</v>
      </c>
      <c r="I123" s="1" t="s">
        <v>201</v>
      </c>
      <c r="J123" s="5">
        <v>5.1967592592592595E-3</v>
      </c>
      <c r="K123" s="5">
        <v>2.5891203703703704E-2</v>
      </c>
      <c r="L123" s="1" t="s">
        <v>202</v>
      </c>
      <c r="M123" s="1">
        <v>127429</v>
      </c>
      <c r="N123" s="1">
        <v>200249337</v>
      </c>
      <c r="O123" s="1">
        <v>1</v>
      </c>
      <c r="P123" s="3" t="e">
        <f>VLOOKUP(Tabla3[[#This Row],[Entrega]],#REF!,4)</f>
        <v>#REF!</v>
      </c>
      <c r="Q123" s="2" t="e">
        <f>VLOOKUP(Tabla3[[#This Row],[Entrega]],#REF!,5)</f>
        <v>#REF!</v>
      </c>
      <c r="R123" s="2" t="e">
        <f>VLOOKUP(Tabla3[[#This Row],[Entrega]],#REF!,7)</f>
        <v>#REF!</v>
      </c>
      <c r="S123" s="2" t="e">
        <f>VLOOKUP(Tabla3[[#This Row],[Entrega]],#REF!,19)</f>
        <v>#REF!</v>
      </c>
      <c r="T123" s="3" t="e">
        <f>VLOOKUP(Tabla3[[#This Row],[Entrega]],#REF!,20)</f>
        <v>#REF!</v>
      </c>
    </row>
    <row r="124" spans="1:20" x14ac:dyDescent="0.2">
      <c r="A124" s="1">
        <v>194640</v>
      </c>
      <c r="B124" s="4">
        <v>44833</v>
      </c>
      <c r="C124" s="1" t="s">
        <v>18</v>
      </c>
      <c r="D124" s="5">
        <v>0.27979166666666666</v>
      </c>
      <c r="E124" s="5">
        <v>0.35490740740740739</v>
      </c>
      <c r="F124" s="5">
        <v>0.39737268518518515</v>
      </c>
      <c r="G124" s="1">
        <v>800000418</v>
      </c>
      <c r="H124" s="1" t="s">
        <v>19</v>
      </c>
      <c r="I124" s="1" t="s">
        <v>203</v>
      </c>
      <c r="J124" s="5">
        <v>7.5115740740740733E-2</v>
      </c>
      <c r="K124" s="5">
        <v>4.2465277777777775E-2</v>
      </c>
      <c r="L124" s="1" t="s">
        <v>204</v>
      </c>
      <c r="M124" s="1">
        <v>127428</v>
      </c>
      <c r="N124" s="1">
        <v>200249336</v>
      </c>
      <c r="O124" s="1">
        <v>1</v>
      </c>
      <c r="P124" s="3" t="e">
        <f>VLOOKUP(Tabla3[[#This Row],[Entrega]],#REF!,4)</f>
        <v>#REF!</v>
      </c>
      <c r="Q124" s="2" t="e">
        <f>VLOOKUP(Tabla3[[#This Row],[Entrega]],#REF!,5)</f>
        <v>#REF!</v>
      </c>
      <c r="R124" s="2" t="e">
        <f>VLOOKUP(Tabla3[[#This Row],[Entrega]],#REF!,7)</f>
        <v>#REF!</v>
      </c>
      <c r="S124" s="2" t="e">
        <f>VLOOKUP(Tabla3[[#This Row],[Entrega]],#REF!,19)</f>
        <v>#REF!</v>
      </c>
      <c r="T124" s="3" t="e">
        <f>VLOOKUP(Tabla3[[#This Row],[Entrega]],#REF!,20)</f>
        <v>#REF!</v>
      </c>
    </row>
    <row r="125" spans="1:20" x14ac:dyDescent="0.2">
      <c r="A125" s="1">
        <v>194639</v>
      </c>
      <c r="B125" s="4">
        <v>44833</v>
      </c>
      <c r="C125" s="1" t="s">
        <v>87</v>
      </c>
      <c r="D125" s="5">
        <v>0.31342592592592594</v>
      </c>
      <c r="E125" s="5">
        <v>0.34688657407407408</v>
      </c>
      <c r="F125" s="5">
        <v>0.37119212962962966</v>
      </c>
      <c r="G125" s="1">
        <v>800000891</v>
      </c>
      <c r="H125" s="1" t="s">
        <v>44</v>
      </c>
      <c r="I125" s="1" t="s">
        <v>88</v>
      </c>
      <c r="J125" s="5">
        <v>3.3460648148148149E-2</v>
      </c>
      <c r="K125" s="5">
        <v>2.4305555555555556E-2</v>
      </c>
      <c r="L125" s="1" t="s">
        <v>82</v>
      </c>
      <c r="M125" s="1">
        <v>55348</v>
      </c>
      <c r="N125" s="1">
        <v>83324429</v>
      </c>
      <c r="O125" s="1">
        <v>1</v>
      </c>
      <c r="P125" s="3" t="e">
        <f>VLOOKUP(Tabla3[[#This Row],[Entrega]],#REF!,4)</f>
        <v>#REF!</v>
      </c>
      <c r="Q125" s="2" t="e">
        <f>VLOOKUP(Tabla3[[#This Row],[Entrega]],#REF!,5)</f>
        <v>#REF!</v>
      </c>
      <c r="R125" s="2" t="e">
        <f>VLOOKUP(Tabla3[[#This Row],[Entrega]],#REF!,7)</f>
        <v>#REF!</v>
      </c>
      <c r="S125" s="2" t="e">
        <f>VLOOKUP(Tabla3[[#This Row],[Entrega]],#REF!,19)</f>
        <v>#REF!</v>
      </c>
      <c r="T125" s="3" t="e">
        <f>VLOOKUP(Tabla3[[#This Row],[Entrega]],#REF!,20)</f>
        <v>#REF!</v>
      </c>
    </row>
    <row r="126" spans="1:20" x14ac:dyDescent="0.2">
      <c r="A126" s="1">
        <v>194638</v>
      </c>
      <c r="B126" s="4">
        <v>44833</v>
      </c>
      <c r="C126" s="1" t="s">
        <v>87</v>
      </c>
      <c r="D126" s="5">
        <v>0.31078703703703703</v>
      </c>
      <c r="E126" s="5">
        <v>0.34567129629629628</v>
      </c>
      <c r="F126" s="5">
        <v>0.36901620370370369</v>
      </c>
      <c r="G126" s="1">
        <v>800000891</v>
      </c>
      <c r="H126" s="1" t="s">
        <v>44</v>
      </c>
      <c r="I126" s="1" t="s">
        <v>46</v>
      </c>
      <c r="J126" s="5">
        <v>3.4884259259259261E-2</v>
      </c>
      <c r="K126" s="5">
        <v>2.3344907407407408E-2</v>
      </c>
      <c r="L126" s="1" t="s">
        <v>76</v>
      </c>
      <c r="M126" s="1">
        <v>55347</v>
      </c>
      <c r="N126" s="1">
        <v>83324427</v>
      </c>
      <c r="O126" s="1">
        <v>1</v>
      </c>
      <c r="P126" s="3" t="e">
        <f>VLOOKUP(Tabla3[[#This Row],[Entrega]],#REF!,4)</f>
        <v>#REF!</v>
      </c>
      <c r="Q126" s="2" t="e">
        <f>VLOOKUP(Tabla3[[#This Row],[Entrega]],#REF!,5)</f>
        <v>#REF!</v>
      </c>
      <c r="R126" s="2" t="e">
        <f>VLOOKUP(Tabla3[[#This Row],[Entrega]],#REF!,7)</f>
        <v>#REF!</v>
      </c>
      <c r="S126" s="2" t="e">
        <f>VLOOKUP(Tabla3[[#This Row],[Entrega]],#REF!,19)</f>
        <v>#REF!</v>
      </c>
      <c r="T126" s="3" t="e">
        <f>VLOOKUP(Tabla3[[#This Row],[Entrega]],#REF!,20)</f>
        <v>#REF!</v>
      </c>
    </row>
    <row r="127" spans="1:20" x14ac:dyDescent="0.2">
      <c r="A127" s="1">
        <v>194637</v>
      </c>
      <c r="B127" s="4">
        <v>44833</v>
      </c>
      <c r="C127" s="1" t="s">
        <v>87</v>
      </c>
      <c r="D127" s="5">
        <v>0.30216435185185186</v>
      </c>
      <c r="E127" s="5">
        <v>0.33583333333333337</v>
      </c>
      <c r="F127" s="5">
        <v>0.35484953703703703</v>
      </c>
      <c r="G127" s="1">
        <v>800000891</v>
      </c>
      <c r="H127" s="1" t="s">
        <v>44</v>
      </c>
      <c r="I127" s="1" t="s">
        <v>45</v>
      </c>
      <c r="J127" s="5">
        <v>3.366898148148148E-2</v>
      </c>
      <c r="K127" s="5">
        <v>1.9016203703703705E-2</v>
      </c>
      <c r="L127" s="1" t="s">
        <v>160</v>
      </c>
      <c r="M127" s="1">
        <v>55346</v>
      </c>
      <c r="N127" s="1">
        <v>83324425</v>
      </c>
      <c r="O127" s="1">
        <v>1</v>
      </c>
      <c r="P127" s="3" t="e">
        <f>VLOOKUP(Tabla3[[#This Row],[Entrega]],#REF!,4)</f>
        <v>#REF!</v>
      </c>
      <c r="Q127" s="2" t="e">
        <f>VLOOKUP(Tabla3[[#This Row],[Entrega]],#REF!,5)</f>
        <v>#REF!</v>
      </c>
      <c r="R127" s="2" t="e">
        <f>VLOOKUP(Tabla3[[#This Row],[Entrega]],#REF!,7)</f>
        <v>#REF!</v>
      </c>
      <c r="S127" s="2" t="e">
        <f>VLOOKUP(Tabla3[[#This Row],[Entrega]],#REF!,19)</f>
        <v>#REF!</v>
      </c>
      <c r="T127" s="3" t="e">
        <f>VLOOKUP(Tabla3[[#This Row],[Entrega]],#REF!,20)</f>
        <v>#REF!</v>
      </c>
    </row>
    <row r="128" spans="1:20" x14ac:dyDescent="0.2">
      <c r="A128" s="1">
        <v>194636</v>
      </c>
      <c r="B128" s="4">
        <v>44833</v>
      </c>
      <c r="C128" s="1" t="s">
        <v>87</v>
      </c>
      <c r="D128" s="5">
        <v>0.30189814814814814</v>
      </c>
      <c r="E128" s="5">
        <v>0.32900462962962962</v>
      </c>
      <c r="F128" s="5">
        <v>0.34137731481481487</v>
      </c>
      <c r="G128" s="1">
        <v>800000891</v>
      </c>
      <c r="H128" s="1" t="s">
        <v>44</v>
      </c>
      <c r="I128" s="1" t="s">
        <v>67</v>
      </c>
      <c r="J128" s="5">
        <v>2.7106481481481481E-2</v>
      </c>
      <c r="K128" s="5">
        <v>1.2372685185185186E-2</v>
      </c>
      <c r="L128" s="1" t="s">
        <v>98</v>
      </c>
      <c r="M128" s="1">
        <v>55345</v>
      </c>
      <c r="N128" s="1">
        <v>83324423</v>
      </c>
      <c r="O128" s="1">
        <v>1</v>
      </c>
      <c r="P128" s="3" t="e">
        <f>VLOOKUP(Tabla3[[#This Row],[Entrega]],#REF!,4)</f>
        <v>#REF!</v>
      </c>
      <c r="Q128" s="2" t="e">
        <f>VLOOKUP(Tabla3[[#This Row],[Entrega]],#REF!,5)</f>
        <v>#REF!</v>
      </c>
      <c r="R128" s="2" t="e">
        <f>VLOOKUP(Tabla3[[#This Row],[Entrega]],#REF!,7)</f>
        <v>#REF!</v>
      </c>
      <c r="S128" s="2" t="e">
        <f>VLOOKUP(Tabla3[[#This Row],[Entrega]],#REF!,19)</f>
        <v>#REF!</v>
      </c>
      <c r="T128" s="3" t="e">
        <f>VLOOKUP(Tabla3[[#This Row],[Entrega]],#REF!,20)</f>
        <v>#REF!</v>
      </c>
    </row>
    <row r="129" spans="1:20" x14ac:dyDescent="0.2">
      <c r="A129" s="1">
        <v>194470</v>
      </c>
      <c r="B129" s="4">
        <v>44832</v>
      </c>
      <c r="C129" s="1" t="s">
        <v>16</v>
      </c>
      <c r="D129" s="5">
        <v>0.41040509259259261</v>
      </c>
      <c r="E129" s="5">
        <v>0.56379629629629624</v>
      </c>
      <c r="F129" s="5">
        <v>0.58651620370370372</v>
      </c>
      <c r="G129" s="1">
        <v>800000670</v>
      </c>
      <c r="H129" s="1" t="s">
        <v>44</v>
      </c>
      <c r="I129" s="1" t="s">
        <v>56</v>
      </c>
      <c r="J129" s="5">
        <v>0.15339120370370371</v>
      </c>
      <c r="K129" s="5">
        <v>2.2719907407407411E-2</v>
      </c>
      <c r="L129" s="1" t="s">
        <v>57</v>
      </c>
      <c r="M129" s="1">
        <v>55339</v>
      </c>
      <c r="N129" s="1">
        <v>83324311</v>
      </c>
      <c r="O129" s="1">
        <v>1</v>
      </c>
      <c r="P129" s="3" t="e">
        <f>VLOOKUP(Tabla3[[#This Row],[Entrega]],#REF!,4)</f>
        <v>#REF!</v>
      </c>
      <c r="Q129" s="2" t="e">
        <f>VLOOKUP(Tabla3[[#This Row],[Entrega]],#REF!,5)</f>
        <v>#REF!</v>
      </c>
      <c r="R129" s="2" t="e">
        <f>VLOOKUP(Tabla3[[#This Row],[Entrega]],#REF!,7)</f>
        <v>#REF!</v>
      </c>
      <c r="S129" s="2" t="e">
        <f>VLOOKUP(Tabla3[[#This Row],[Entrega]],#REF!,19)</f>
        <v>#REF!</v>
      </c>
      <c r="T129" s="3" t="e">
        <f>VLOOKUP(Tabla3[[#This Row],[Entrega]],#REF!,20)</f>
        <v>#REF!</v>
      </c>
    </row>
    <row r="130" spans="1:20" x14ac:dyDescent="0.2">
      <c r="A130" s="1">
        <v>194602</v>
      </c>
      <c r="B130" s="4">
        <v>44833</v>
      </c>
      <c r="C130" s="1" t="s">
        <v>18</v>
      </c>
      <c r="D130" s="5">
        <v>0.2230439814814815</v>
      </c>
      <c r="E130" s="5">
        <v>0.23613425925925924</v>
      </c>
      <c r="F130" s="5">
        <v>0.24505787037037038</v>
      </c>
      <c r="G130" s="1">
        <v>800000001</v>
      </c>
      <c r="H130" s="1" t="s">
        <v>21</v>
      </c>
      <c r="I130" s="1" t="s">
        <v>41</v>
      </c>
      <c r="J130" s="5">
        <v>1.3090277777777779E-2</v>
      </c>
      <c r="K130" s="5">
        <v>8.9236111111111113E-3</v>
      </c>
      <c r="L130" s="1" t="s">
        <v>73</v>
      </c>
      <c r="M130" s="1">
        <v>127427</v>
      </c>
      <c r="N130" s="1">
        <v>200249335</v>
      </c>
      <c r="O130" s="1">
        <v>1</v>
      </c>
      <c r="P130" s="3" t="e">
        <f>VLOOKUP(Tabla3[[#This Row],[Entrega]],#REF!,4)</f>
        <v>#REF!</v>
      </c>
      <c r="Q130" s="2" t="e">
        <f>VLOOKUP(Tabla3[[#This Row],[Entrega]],#REF!,5)</f>
        <v>#REF!</v>
      </c>
      <c r="R130" s="2" t="e">
        <f>VLOOKUP(Tabla3[[#This Row],[Entrega]],#REF!,7)</f>
        <v>#REF!</v>
      </c>
      <c r="S130" s="2" t="e">
        <f>VLOOKUP(Tabla3[[#This Row],[Entrega]],#REF!,19)</f>
        <v>#REF!</v>
      </c>
      <c r="T130" s="3" t="e">
        <f>VLOOKUP(Tabla3[[#This Row],[Entrega]],#REF!,20)</f>
        <v>#REF!</v>
      </c>
    </row>
    <row r="131" spans="1:20" x14ac:dyDescent="0.2">
      <c r="A131" s="1">
        <v>194577</v>
      </c>
      <c r="B131" s="4">
        <v>44833</v>
      </c>
      <c r="C131" s="1" t="s">
        <v>18</v>
      </c>
      <c r="D131" s="5">
        <v>9.3773148148148147E-2</v>
      </c>
      <c r="E131" s="5">
        <v>0.15012731481481481</v>
      </c>
      <c r="F131" s="5">
        <v>0.16731481481481481</v>
      </c>
      <c r="G131" s="1">
        <v>800000001</v>
      </c>
      <c r="H131" s="1" t="s">
        <v>21</v>
      </c>
      <c r="I131" s="1" t="s">
        <v>41</v>
      </c>
      <c r="J131" s="5">
        <v>5.635416666666667E-2</v>
      </c>
      <c r="K131" s="5">
        <v>1.7187499999999998E-2</v>
      </c>
      <c r="L131" s="1" t="s">
        <v>73</v>
      </c>
      <c r="M131" s="1">
        <v>127426</v>
      </c>
      <c r="N131" s="1">
        <v>200249334</v>
      </c>
      <c r="O131" s="1">
        <v>1</v>
      </c>
      <c r="P131" s="3" t="e">
        <f>VLOOKUP(Tabla3[[#This Row],[Entrega]],#REF!,4)</f>
        <v>#REF!</v>
      </c>
      <c r="Q131" s="2" t="e">
        <f>VLOOKUP(Tabla3[[#This Row],[Entrega]],#REF!,5)</f>
        <v>#REF!</v>
      </c>
      <c r="R131" s="2" t="e">
        <f>VLOOKUP(Tabla3[[#This Row],[Entrega]],#REF!,7)</f>
        <v>#REF!</v>
      </c>
      <c r="S131" s="2" t="e">
        <f>VLOOKUP(Tabla3[[#This Row],[Entrega]],#REF!,19)</f>
        <v>#REF!</v>
      </c>
      <c r="T131" s="3" t="e">
        <f>VLOOKUP(Tabla3[[#This Row],[Entrega]],#REF!,20)</f>
        <v>#REF!</v>
      </c>
    </row>
    <row r="132" spans="1:20" x14ac:dyDescent="0.2">
      <c r="A132" s="1">
        <v>194576</v>
      </c>
      <c r="B132" s="4">
        <v>44833</v>
      </c>
      <c r="C132" s="1" t="s">
        <v>18</v>
      </c>
      <c r="D132" s="5">
        <v>1.0532407407407407E-3</v>
      </c>
      <c r="E132" s="5">
        <v>0.13928240740740741</v>
      </c>
      <c r="F132" s="5">
        <v>0.14914351851851851</v>
      </c>
      <c r="G132" s="1">
        <v>800000305</v>
      </c>
      <c r="H132" s="1" t="s">
        <v>22</v>
      </c>
      <c r="I132" s="1" t="s">
        <v>88</v>
      </c>
      <c r="J132" s="5">
        <v>0.13822916666666665</v>
      </c>
      <c r="K132" s="5">
        <v>9.8611111111111104E-3</v>
      </c>
      <c r="L132" s="1" t="s">
        <v>49</v>
      </c>
      <c r="M132" s="1">
        <v>127425</v>
      </c>
      <c r="N132" s="1">
        <v>200249333</v>
      </c>
      <c r="O132" s="1">
        <v>1</v>
      </c>
      <c r="P132" s="3" t="e">
        <f>VLOOKUP(Tabla3[[#This Row],[Entrega]],#REF!,4)</f>
        <v>#REF!</v>
      </c>
      <c r="Q132" s="2" t="e">
        <f>VLOOKUP(Tabla3[[#This Row],[Entrega]],#REF!,5)</f>
        <v>#REF!</v>
      </c>
      <c r="R132" s="2" t="e">
        <f>VLOOKUP(Tabla3[[#This Row],[Entrega]],#REF!,7)</f>
        <v>#REF!</v>
      </c>
      <c r="S132" s="2" t="e">
        <f>VLOOKUP(Tabla3[[#This Row],[Entrega]],#REF!,19)</f>
        <v>#REF!</v>
      </c>
      <c r="T132" s="3" t="e">
        <f>VLOOKUP(Tabla3[[#This Row],[Entrega]],#REF!,20)</f>
        <v>#REF!</v>
      </c>
    </row>
    <row r="133" spans="1:20" x14ac:dyDescent="0.2">
      <c r="A133" s="1">
        <v>194575</v>
      </c>
      <c r="B133" s="4">
        <v>44833</v>
      </c>
      <c r="C133" s="1" t="s">
        <v>18</v>
      </c>
      <c r="D133" s="5">
        <v>0.9730671296296296</v>
      </c>
      <c r="E133" s="5">
        <v>9.2916666666666661E-2</v>
      </c>
      <c r="F133" s="5">
        <v>0.12587962962962965</v>
      </c>
      <c r="G133" s="1">
        <v>800000306</v>
      </c>
      <c r="H133" s="1" t="s">
        <v>54</v>
      </c>
      <c r="I133" s="1" t="s">
        <v>80</v>
      </c>
      <c r="J133" s="5">
        <v>0.11984953703703705</v>
      </c>
      <c r="K133" s="5">
        <v>3.2962962962962965E-2</v>
      </c>
      <c r="L133" s="1" t="s">
        <v>52</v>
      </c>
      <c r="M133" s="1">
        <v>127424</v>
      </c>
      <c r="N133" s="1">
        <v>200249332</v>
      </c>
      <c r="O133" s="1">
        <v>1</v>
      </c>
      <c r="P133" s="3" t="e">
        <f>VLOOKUP(Tabla3[[#This Row],[Entrega]],#REF!,4)</f>
        <v>#REF!</v>
      </c>
      <c r="Q133" s="2" t="e">
        <f>VLOOKUP(Tabla3[[#This Row],[Entrega]],#REF!,5)</f>
        <v>#REF!</v>
      </c>
      <c r="R133" s="2" t="e">
        <f>VLOOKUP(Tabla3[[#This Row],[Entrega]],#REF!,7)</f>
        <v>#REF!</v>
      </c>
      <c r="S133" s="2" t="e">
        <f>VLOOKUP(Tabla3[[#This Row],[Entrega]],#REF!,19)</f>
        <v>#REF!</v>
      </c>
      <c r="T133" s="3" t="e">
        <f>VLOOKUP(Tabla3[[#This Row],[Entrega]],#REF!,20)</f>
        <v>#REF!</v>
      </c>
    </row>
    <row r="134" spans="1:20" x14ac:dyDescent="0.2">
      <c r="A134" s="1">
        <v>194574</v>
      </c>
      <c r="B134" s="4">
        <v>44833</v>
      </c>
      <c r="C134" s="1" t="s">
        <v>18</v>
      </c>
      <c r="D134" s="5">
        <v>0.96527777777777779</v>
      </c>
      <c r="E134" s="5">
        <v>8.7627314814814825E-2</v>
      </c>
      <c r="F134" s="5">
        <v>0.10825231481481483</v>
      </c>
      <c r="G134" s="1">
        <v>800000000</v>
      </c>
      <c r="H134" s="1" t="s">
        <v>20</v>
      </c>
      <c r="I134" s="1" t="s">
        <v>81</v>
      </c>
      <c r="J134" s="5">
        <v>0.12234953703703703</v>
      </c>
      <c r="K134" s="5">
        <v>2.0625000000000001E-2</v>
      </c>
      <c r="L134" s="1" t="s">
        <v>83</v>
      </c>
      <c r="M134" s="1">
        <v>127423</v>
      </c>
      <c r="N134" s="1">
        <v>200249331</v>
      </c>
      <c r="O134" s="1">
        <v>1</v>
      </c>
      <c r="P134" s="3" t="e">
        <f>VLOOKUP(Tabla3[[#This Row],[Entrega]],#REF!,4)</f>
        <v>#REF!</v>
      </c>
      <c r="Q134" s="2" t="e">
        <f>VLOOKUP(Tabla3[[#This Row],[Entrega]],#REF!,5)</f>
        <v>#REF!</v>
      </c>
      <c r="R134" s="2" t="e">
        <f>VLOOKUP(Tabla3[[#This Row],[Entrega]],#REF!,7)</f>
        <v>#REF!</v>
      </c>
      <c r="S134" s="2" t="e">
        <f>VLOOKUP(Tabla3[[#This Row],[Entrega]],#REF!,19)</f>
        <v>#REF!</v>
      </c>
      <c r="T134" s="3" t="e">
        <f>VLOOKUP(Tabla3[[#This Row],[Entrega]],#REF!,20)</f>
        <v>#REF!</v>
      </c>
    </row>
    <row r="135" spans="1:20" x14ac:dyDescent="0.2">
      <c r="A135" s="1">
        <v>194573</v>
      </c>
      <c r="B135" s="4">
        <v>44833</v>
      </c>
      <c r="C135" s="1" t="s">
        <v>16</v>
      </c>
      <c r="D135" s="5">
        <v>0.82791666666666675</v>
      </c>
      <c r="E135" s="5">
        <v>4.3472222222222225E-2</v>
      </c>
      <c r="F135" s="5">
        <v>8.6354166666666662E-2</v>
      </c>
      <c r="G135" s="1">
        <v>800000251</v>
      </c>
      <c r="H135" s="1" t="s">
        <v>38</v>
      </c>
      <c r="I135" s="1" t="s">
        <v>40</v>
      </c>
      <c r="J135" s="5">
        <v>0.21555555555555558</v>
      </c>
      <c r="K135" s="5">
        <v>4.2881944444444438E-2</v>
      </c>
      <c r="L135" s="1" t="s">
        <v>66</v>
      </c>
      <c r="M135" s="1">
        <v>127422</v>
      </c>
      <c r="N135" s="1">
        <v>200249328</v>
      </c>
      <c r="O135" s="1">
        <v>1</v>
      </c>
      <c r="P135" s="3" t="e">
        <f>VLOOKUP(Tabla3[[#This Row],[Entrega]],#REF!,4)</f>
        <v>#REF!</v>
      </c>
      <c r="Q135" s="2" t="e">
        <f>VLOOKUP(Tabla3[[#This Row],[Entrega]],#REF!,5)</f>
        <v>#REF!</v>
      </c>
      <c r="R135" s="2" t="e">
        <f>VLOOKUP(Tabla3[[#This Row],[Entrega]],#REF!,7)</f>
        <v>#REF!</v>
      </c>
      <c r="S135" s="2" t="e">
        <f>VLOOKUP(Tabla3[[#This Row],[Entrega]],#REF!,19)</f>
        <v>#REF!</v>
      </c>
      <c r="T135" s="3" t="e">
        <f>VLOOKUP(Tabla3[[#This Row],[Entrega]],#REF!,20)</f>
        <v>#REF!</v>
      </c>
    </row>
    <row r="136" spans="1:20" x14ac:dyDescent="0.2">
      <c r="A136" s="1">
        <v>194572</v>
      </c>
      <c r="B136" s="4">
        <v>44833</v>
      </c>
      <c r="C136" s="1" t="s">
        <v>16</v>
      </c>
      <c r="D136" s="5">
        <v>0.82151620370370371</v>
      </c>
      <c r="E136" s="5">
        <v>2.4085648148148148E-2</v>
      </c>
      <c r="F136" s="5">
        <v>8.5821759259259264E-2</v>
      </c>
      <c r="G136" s="1">
        <v>800000268</v>
      </c>
      <c r="H136" s="1" t="s">
        <v>24</v>
      </c>
      <c r="I136" s="1" t="s">
        <v>119</v>
      </c>
      <c r="J136" s="5">
        <v>0.20256944444444444</v>
      </c>
      <c r="K136" s="5">
        <v>6.173611111111111E-2</v>
      </c>
      <c r="L136" s="1" t="s">
        <v>120</v>
      </c>
      <c r="M136" s="1">
        <v>127420</v>
      </c>
      <c r="N136" s="1">
        <v>200249327</v>
      </c>
      <c r="O136" s="1">
        <v>1</v>
      </c>
      <c r="P136" s="3" t="e">
        <f>VLOOKUP(Tabla3[[#This Row],[Entrega]],#REF!,4)</f>
        <v>#REF!</v>
      </c>
      <c r="Q136" s="2" t="e">
        <f>VLOOKUP(Tabla3[[#This Row],[Entrega]],#REF!,5)</f>
        <v>#REF!</v>
      </c>
      <c r="R136" s="2" t="e">
        <f>VLOOKUP(Tabla3[[#This Row],[Entrega]],#REF!,7)</f>
        <v>#REF!</v>
      </c>
      <c r="S136" s="2" t="e">
        <f>VLOOKUP(Tabla3[[#This Row],[Entrega]],#REF!,19)</f>
        <v>#REF!</v>
      </c>
      <c r="T136" s="3" t="e">
        <f>VLOOKUP(Tabla3[[#This Row],[Entrega]],#REF!,20)</f>
        <v>#REF!</v>
      </c>
    </row>
    <row r="137" spans="1:20" x14ac:dyDescent="0.2">
      <c r="A137" s="1">
        <v>194571</v>
      </c>
      <c r="B137" s="4">
        <v>44833</v>
      </c>
      <c r="C137" s="1" t="s">
        <v>18</v>
      </c>
      <c r="D137" s="5">
        <v>1.4687499999999999E-2</v>
      </c>
      <c r="E137" s="5">
        <v>2.1863425925925925E-2</v>
      </c>
      <c r="F137" s="5">
        <v>8.5289351851851838E-2</v>
      </c>
      <c r="G137" s="1">
        <v>800000001</v>
      </c>
      <c r="H137" s="1" t="s">
        <v>21</v>
      </c>
      <c r="I137" s="1" t="s">
        <v>41</v>
      </c>
      <c r="J137" s="5">
        <v>7.1759259259259259E-3</v>
      </c>
      <c r="K137" s="5">
        <v>6.3425925925925927E-2</v>
      </c>
      <c r="L137" s="1" t="s">
        <v>73</v>
      </c>
      <c r="M137" s="1">
        <v>127421</v>
      </c>
      <c r="N137" s="1">
        <v>200249330</v>
      </c>
      <c r="O137" s="1">
        <v>1</v>
      </c>
      <c r="P137" s="3" t="e">
        <f>VLOOKUP(Tabla3[[#This Row],[Entrega]],#REF!,4)</f>
        <v>#REF!</v>
      </c>
      <c r="Q137" s="2" t="e">
        <f>VLOOKUP(Tabla3[[#This Row],[Entrega]],#REF!,5)</f>
        <v>#REF!</v>
      </c>
      <c r="R137" s="2" t="e">
        <f>VLOOKUP(Tabla3[[#This Row],[Entrega]],#REF!,7)</f>
        <v>#REF!</v>
      </c>
      <c r="S137" s="2" t="e">
        <f>VLOOKUP(Tabla3[[#This Row],[Entrega]],#REF!,19)</f>
        <v>#REF!</v>
      </c>
      <c r="T137" s="3" t="e">
        <f>VLOOKUP(Tabla3[[#This Row],[Entrega]],#REF!,20)</f>
        <v>#REF!</v>
      </c>
    </row>
    <row r="138" spans="1:20" x14ac:dyDescent="0.2">
      <c r="A138" s="1">
        <v>194570</v>
      </c>
      <c r="B138" s="4">
        <v>44833</v>
      </c>
      <c r="C138" s="1" t="s">
        <v>16</v>
      </c>
      <c r="D138" s="5">
        <v>0.79312499999999997</v>
      </c>
      <c r="E138" s="5">
        <v>0.99601851851851853</v>
      </c>
      <c r="F138" s="5">
        <v>4.7962962962962964E-2</v>
      </c>
      <c r="G138" s="1">
        <v>800000268</v>
      </c>
      <c r="H138" s="1" t="s">
        <v>24</v>
      </c>
      <c r="I138" s="1" t="s">
        <v>135</v>
      </c>
      <c r="J138" s="5">
        <v>0.20289351851851853</v>
      </c>
      <c r="K138" s="5">
        <v>5.1944444444444439E-2</v>
      </c>
      <c r="L138" s="1" t="s">
        <v>171</v>
      </c>
      <c r="M138" s="1">
        <v>127419</v>
      </c>
      <c r="N138" s="1">
        <v>200249325</v>
      </c>
      <c r="O138" s="1">
        <v>1</v>
      </c>
      <c r="P138" s="3" t="e">
        <f>VLOOKUP(Tabla3[[#This Row],[Entrega]],#REF!,4)</f>
        <v>#REF!</v>
      </c>
      <c r="Q138" s="2" t="e">
        <f>VLOOKUP(Tabla3[[#This Row],[Entrega]],#REF!,5)</f>
        <v>#REF!</v>
      </c>
      <c r="R138" s="2" t="e">
        <f>VLOOKUP(Tabla3[[#This Row],[Entrega]],#REF!,7)</f>
        <v>#REF!</v>
      </c>
      <c r="S138" s="2" t="e">
        <f>VLOOKUP(Tabla3[[#This Row],[Entrega]],#REF!,19)</f>
        <v>#REF!</v>
      </c>
      <c r="T138" s="3" t="e">
        <f>VLOOKUP(Tabla3[[#This Row],[Entrega]],#REF!,20)</f>
        <v>#REF!</v>
      </c>
    </row>
    <row r="139" spans="1:20" x14ac:dyDescent="0.2">
      <c r="A139" s="1">
        <v>194569</v>
      </c>
      <c r="B139" s="4">
        <v>44833</v>
      </c>
      <c r="C139" s="1" t="s">
        <v>18</v>
      </c>
      <c r="D139" s="5">
        <v>0.96337962962962964</v>
      </c>
      <c r="E139" s="5">
        <v>0.99563657407407413</v>
      </c>
      <c r="F139" s="5">
        <v>3.1956018518518516E-2</v>
      </c>
      <c r="G139" s="1">
        <v>800000001</v>
      </c>
      <c r="H139" s="1" t="s">
        <v>21</v>
      </c>
      <c r="I139" s="1" t="s">
        <v>46</v>
      </c>
      <c r="J139" s="5">
        <v>3.2256944444444442E-2</v>
      </c>
      <c r="K139" s="5">
        <v>3.6319444444444439E-2</v>
      </c>
      <c r="L139" s="1" t="s">
        <v>99</v>
      </c>
      <c r="M139" s="1">
        <v>127418</v>
      </c>
      <c r="N139" s="1">
        <v>200249329</v>
      </c>
      <c r="O139" s="1">
        <v>1</v>
      </c>
      <c r="P139" s="3" t="e">
        <f>VLOOKUP(Tabla3[[#This Row],[Entrega]],#REF!,4)</f>
        <v>#REF!</v>
      </c>
      <c r="Q139" s="2" t="e">
        <f>VLOOKUP(Tabla3[[#This Row],[Entrega]],#REF!,5)</f>
        <v>#REF!</v>
      </c>
      <c r="R139" s="2" t="e">
        <f>VLOOKUP(Tabla3[[#This Row],[Entrega]],#REF!,7)</f>
        <v>#REF!</v>
      </c>
      <c r="S139" s="2" t="e">
        <f>VLOOKUP(Tabla3[[#This Row],[Entrega]],#REF!,19)</f>
        <v>#REF!</v>
      </c>
      <c r="T139" s="3" t="e">
        <f>VLOOKUP(Tabla3[[#This Row],[Entrega]],#REF!,20)</f>
        <v>#REF!</v>
      </c>
    </row>
    <row r="140" spans="1:20" x14ac:dyDescent="0.2">
      <c r="A140" s="1">
        <v>194538</v>
      </c>
      <c r="B140" s="4">
        <v>44833</v>
      </c>
      <c r="C140" s="1" t="s">
        <v>16</v>
      </c>
      <c r="D140" s="5">
        <v>0.77289351851851851</v>
      </c>
      <c r="E140" s="5">
        <v>0.99200231481481482</v>
      </c>
      <c r="F140" s="5">
        <v>6.5509259259259262E-3</v>
      </c>
      <c r="G140" s="1">
        <v>800000251</v>
      </c>
      <c r="H140" s="1" t="s">
        <v>38</v>
      </c>
      <c r="I140" s="1" t="s">
        <v>64</v>
      </c>
      <c r="J140" s="5">
        <v>0.21910879629629632</v>
      </c>
      <c r="K140" s="5">
        <v>1.4548611111111111E-2</v>
      </c>
      <c r="L140" s="1" t="s">
        <v>65</v>
      </c>
      <c r="M140" s="1">
        <v>127417</v>
      </c>
      <c r="N140" s="1">
        <v>200249326</v>
      </c>
      <c r="O140" s="1">
        <v>1</v>
      </c>
      <c r="P140" s="3" t="e">
        <f>VLOOKUP(Tabla3[[#This Row],[Entrega]],#REF!,4)</f>
        <v>#REF!</v>
      </c>
      <c r="Q140" s="2" t="e">
        <f>VLOOKUP(Tabla3[[#This Row],[Entrega]],#REF!,5)</f>
        <v>#REF!</v>
      </c>
      <c r="R140" s="2" t="e">
        <f>VLOOKUP(Tabla3[[#This Row],[Entrega]],#REF!,7)</f>
        <v>#REF!</v>
      </c>
      <c r="S140" s="2" t="e">
        <f>VLOOKUP(Tabla3[[#This Row],[Entrega]],#REF!,19)</f>
        <v>#REF!</v>
      </c>
      <c r="T140" s="3" t="e">
        <f>VLOOKUP(Tabla3[[#This Row],[Entrega]],#REF!,20)</f>
        <v>#REF!</v>
      </c>
    </row>
    <row r="141" spans="1:20" x14ac:dyDescent="0.2">
      <c r="A141" s="1">
        <v>194537</v>
      </c>
      <c r="B141" s="4">
        <v>44832</v>
      </c>
      <c r="C141" s="1" t="s">
        <v>18</v>
      </c>
      <c r="D141" s="5">
        <v>0.86258101851851843</v>
      </c>
      <c r="E141" s="5">
        <v>0.96217592592592593</v>
      </c>
      <c r="F141" s="5">
        <v>0.99810185185185185</v>
      </c>
      <c r="G141" s="1">
        <v>800000002</v>
      </c>
      <c r="H141" s="1" t="s">
        <v>23</v>
      </c>
      <c r="I141" s="1" t="s">
        <v>205</v>
      </c>
      <c r="J141" s="5">
        <v>9.959490740740741E-2</v>
      </c>
      <c r="K141" s="5">
        <v>3.5925925925925924E-2</v>
      </c>
      <c r="L141" s="1" t="s">
        <v>206</v>
      </c>
      <c r="M141" s="1">
        <v>127416</v>
      </c>
      <c r="N141" s="1">
        <v>200249324</v>
      </c>
      <c r="O141" s="1">
        <v>1</v>
      </c>
      <c r="P141" s="3" t="e">
        <f>VLOOKUP(Tabla3[[#This Row],[Entrega]],#REF!,4)</f>
        <v>#REF!</v>
      </c>
      <c r="Q141" s="2" t="e">
        <f>VLOOKUP(Tabla3[[#This Row],[Entrega]],#REF!,5)</f>
        <v>#REF!</v>
      </c>
      <c r="R141" s="2" t="e">
        <f>VLOOKUP(Tabla3[[#This Row],[Entrega]],#REF!,7)</f>
        <v>#REF!</v>
      </c>
      <c r="S141" s="2" t="e">
        <f>VLOOKUP(Tabla3[[#This Row],[Entrega]],#REF!,19)</f>
        <v>#REF!</v>
      </c>
      <c r="T141" s="3" t="e">
        <f>VLOOKUP(Tabla3[[#This Row],[Entrega]],#REF!,20)</f>
        <v>#REF!</v>
      </c>
    </row>
    <row r="142" spans="1:20" x14ac:dyDescent="0.2">
      <c r="A142" s="1">
        <v>194536</v>
      </c>
      <c r="B142" s="4">
        <v>44832</v>
      </c>
      <c r="C142" s="1" t="s">
        <v>18</v>
      </c>
      <c r="D142" s="5">
        <v>0.88686342592592593</v>
      </c>
      <c r="E142" s="5">
        <v>0.93875000000000008</v>
      </c>
      <c r="F142" s="5">
        <v>0.97613425925925934</v>
      </c>
      <c r="G142" s="1">
        <v>800000001</v>
      </c>
      <c r="H142" s="1" t="s">
        <v>21</v>
      </c>
      <c r="I142" s="1" t="s">
        <v>41</v>
      </c>
      <c r="J142" s="5">
        <v>5.1886574074074071E-2</v>
      </c>
      <c r="K142" s="5">
        <v>3.7384259259259263E-2</v>
      </c>
      <c r="L142" s="1" t="s">
        <v>73</v>
      </c>
      <c r="M142" s="1">
        <v>127415</v>
      </c>
      <c r="N142" s="1">
        <v>200249323</v>
      </c>
      <c r="O142" s="1">
        <v>1</v>
      </c>
      <c r="P142" s="3" t="e">
        <f>VLOOKUP(Tabla3[[#This Row],[Entrega]],#REF!,4)</f>
        <v>#REF!</v>
      </c>
      <c r="Q142" s="2" t="e">
        <f>VLOOKUP(Tabla3[[#This Row],[Entrega]],#REF!,5)</f>
        <v>#REF!</v>
      </c>
      <c r="R142" s="2" t="e">
        <f>VLOOKUP(Tabla3[[#This Row],[Entrega]],#REF!,7)</f>
        <v>#REF!</v>
      </c>
      <c r="S142" s="2" t="e">
        <f>VLOOKUP(Tabla3[[#This Row],[Entrega]],#REF!,19)</f>
        <v>#REF!</v>
      </c>
      <c r="T142" s="3" t="e">
        <f>VLOOKUP(Tabla3[[#This Row],[Entrega]],#REF!,20)</f>
        <v>#REF!</v>
      </c>
    </row>
    <row r="143" spans="1:20" x14ac:dyDescent="0.2">
      <c r="A143" s="1">
        <v>194522</v>
      </c>
      <c r="B143" s="4">
        <v>44832</v>
      </c>
      <c r="C143" s="1" t="s">
        <v>18</v>
      </c>
      <c r="D143" s="5">
        <v>0.83820601851851861</v>
      </c>
      <c r="E143" s="5">
        <v>0.87620370370370371</v>
      </c>
      <c r="F143" s="5">
        <v>0.91809027777777785</v>
      </c>
      <c r="G143" s="1">
        <v>800000001</v>
      </c>
      <c r="H143" s="1" t="s">
        <v>21</v>
      </c>
      <c r="I143" s="1" t="s">
        <v>88</v>
      </c>
      <c r="J143" s="5">
        <v>3.7997685185185183E-2</v>
      </c>
      <c r="K143" s="5">
        <v>4.1886574074074069E-2</v>
      </c>
      <c r="L143" s="1" t="s">
        <v>49</v>
      </c>
      <c r="M143" s="1">
        <v>127414</v>
      </c>
      <c r="N143" s="1">
        <v>200249321</v>
      </c>
      <c r="O143" s="1">
        <v>1</v>
      </c>
      <c r="P143" s="3" t="e">
        <f>VLOOKUP(Tabla3[[#This Row],[Entrega]],#REF!,4)</f>
        <v>#REF!</v>
      </c>
      <c r="Q143" s="2" t="e">
        <f>VLOOKUP(Tabla3[[#This Row],[Entrega]],#REF!,5)</f>
        <v>#REF!</v>
      </c>
      <c r="R143" s="2" t="e">
        <f>VLOOKUP(Tabla3[[#This Row],[Entrega]],#REF!,7)</f>
        <v>#REF!</v>
      </c>
      <c r="S143" s="2" t="e">
        <f>VLOOKUP(Tabla3[[#This Row],[Entrega]],#REF!,19)</f>
        <v>#REF!</v>
      </c>
      <c r="T143" s="3" t="e">
        <f>VLOOKUP(Tabla3[[#This Row],[Entrega]],#REF!,20)</f>
        <v>#REF!</v>
      </c>
    </row>
    <row r="144" spans="1:20" x14ac:dyDescent="0.2">
      <c r="A144" s="1">
        <v>194521</v>
      </c>
      <c r="B144" s="4">
        <v>44832</v>
      </c>
      <c r="C144" s="1" t="s">
        <v>16</v>
      </c>
      <c r="D144" s="5">
        <v>0.77266203703703706</v>
      </c>
      <c r="E144" s="5">
        <v>0.87761574074074078</v>
      </c>
      <c r="F144" s="5">
        <v>0.9084374999999999</v>
      </c>
      <c r="G144" s="1">
        <v>800000251</v>
      </c>
      <c r="H144" s="1" t="s">
        <v>38</v>
      </c>
      <c r="I144" s="1" t="s">
        <v>69</v>
      </c>
      <c r="J144" s="5">
        <v>0.1049537037037037</v>
      </c>
      <c r="K144" s="5">
        <v>3.0821759259259257E-2</v>
      </c>
      <c r="L144" s="1" t="s">
        <v>70</v>
      </c>
      <c r="M144" s="1">
        <v>127413</v>
      </c>
      <c r="N144" s="1">
        <v>200249322</v>
      </c>
      <c r="O144" s="1">
        <v>1</v>
      </c>
      <c r="P144" s="3" t="e">
        <f>VLOOKUP(Tabla3[[#This Row],[Entrega]],#REF!,4)</f>
        <v>#REF!</v>
      </c>
      <c r="Q144" s="2" t="e">
        <f>VLOOKUP(Tabla3[[#This Row],[Entrega]],#REF!,5)</f>
        <v>#REF!</v>
      </c>
      <c r="R144" s="2" t="e">
        <f>VLOOKUP(Tabla3[[#This Row],[Entrega]],#REF!,7)</f>
        <v>#REF!</v>
      </c>
      <c r="S144" s="2" t="e">
        <f>VLOOKUP(Tabla3[[#This Row],[Entrega]],#REF!,19)</f>
        <v>#REF!</v>
      </c>
      <c r="T144" s="3" t="e">
        <f>VLOOKUP(Tabla3[[#This Row],[Entrega]],#REF!,20)</f>
        <v>#REF!</v>
      </c>
    </row>
    <row r="145" spans="1:20" x14ac:dyDescent="0.2">
      <c r="A145" s="1">
        <v>194520</v>
      </c>
      <c r="B145" s="4">
        <v>44832</v>
      </c>
      <c r="C145" s="1" t="s">
        <v>16</v>
      </c>
      <c r="D145" s="5">
        <v>0.72252314814814822</v>
      </c>
      <c r="E145" s="5">
        <v>0.85811342592592599</v>
      </c>
      <c r="F145" s="5">
        <v>0.89844907407407415</v>
      </c>
      <c r="G145" s="1">
        <v>800000268</v>
      </c>
      <c r="H145" s="1" t="s">
        <v>24</v>
      </c>
      <c r="I145" s="1" t="s">
        <v>207</v>
      </c>
      <c r="J145" s="5">
        <v>0.13559027777777777</v>
      </c>
      <c r="K145" s="5">
        <v>4.0335648148148148E-2</v>
      </c>
      <c r="L145" s="1" t="s">
        <v>60</v>
      </c>
      <c r="M145" s="1">
        <v>127412</v>
      </c>
      <c r="N145" s="1">
        <v>200249320</v>
      </c>
      <c r="O145" s="1">
        <v>1</v>
      </c>
      <c r="P145" s="3" t="e">
        <f>VLOOKUP(Tabla3[[#This Row],[Entrega]],#REF!,4)</f>
        <v>#REF!</v>
      </c>
      <c r="Q145" s="2" t="e">
        <f>VLOOKUP(Tabla3[[#This Row],[Entrega]],#REF!,5)</f>
        <v>#REF!</v>
      </c>
      <c r="R145" s="2" t="e">
        <f>VLOOKUP(Tabla3[[#This Row],[Entrega]],#REF!,7)</f>
        <v>#REF!</v>
      </c>
      <c r="S145" s="2" t="e">
        <f>VLOOKUP(Tabla3[[#This Row],[Entrega]],#REF!,19)</f>
        <v>#REF!</v>
      </c>
      <c r="T145" s="3" t="e">
        <f>VLOOKUP(Tabla3[[#This Row],[Entrega]],#REF!,20)</f>
        <v>#REF!</v>
      </c>
    </row>
    <row r="146" spans="1:20" x14ac:dyDescent="0.2">
      <c r="A146" s="1">
        <v>194519</v>
      </c>
      <c r="B146" s="4">
        <v>44832</v>
      </c>
      <c r="C146" s="1" t="s">
        <v>18</v>
      </c>
      <c r="D146" s="5">
        <v>0.81056712962962962</v>
      </c>
      <c r="E146" s="5">
        <v>0.84744212962962961</v>
      </c>
      <c r="F146" s="5">
        <v>0.88192129629629623</v>
      </c>
      <c r="G146" s="1">
        <v>800000001</v>
      </c>
      <c r="H146" s="1" t="s">
        <v>21</v>
      </c>
      <c r="I146" s="1" t="s">
        <v>81</v>
      </c>
      <c r="J146" s="5">
        <v>3.6874999999999998E-2</v>
      </c>
      <c r="K146" s="5">
        <v>3.4479166666666665E-2</v>
      </c>
      <c r="L146" s="1" t="s">
        <v>83</v>
      </c>
      <c r="M146" s="1">
        <v>127411</v>
      </c>
      <c r="N146" s="1">
        <v>200249319</v>
      </c>
      <c r="O146" s="1">
        <v>1</v>
      </c>
      <c r="P146" s="3" t="e">
        <f>VLOOKUP(Tabla3[[#This Row],[Entrega]],#REF!,4)</f>
        <v>#REF!</v>
      </c>
      <c r="Q146" s="2" t="e">
        <f>VLOOKUP(Tabla3[[#This Row],[Entrega]],#REF!,5)</f>
        <v>#REF!</v>
      </c>
      <c r="R146" s="2" t="e">
        <f>VLOOKUP(Tabla3[[#This Row],[Entrega]],#REF!,7)</f>
        <v>#REF!</v>
      </c>
      <c r="S146" s="2" t="e">
        <f>VLOOKUP(Tabla3[[#This Row],[Entrega]],#REF!,19)</f>
        <v>#REF!</v>
      </c>
      <c r="T146" s="3" t="e">
        <f>VLOOKUP(Tabla3[[#This Row],[Entrega]],#REF!,20)</f>
        <v>#REF!</v>
      </c>
    </row>
    <row r="147" spans="1:20" x14ac:dyDescent="0.2">
      <c r="A147" s="1">
        <v>194518</v>
      </c>
      <c r="B147" s="4">
        <v>44832</v>
      </c>
      <c r="C147" s="1" t="s">
        <v>16</v>
      </c>
      <c r="D147" s="5">
        <v>0.71887731481481476</v>
      </c>
      <c r="E147" s="5">
        <v>0.84193287037037035</v>
      </c>
      <c r="F147" s="5">
        <v>0.8743981481481482</v>
      </c>
      <c r="G147" s="1">
        <v>800000268</v>
      </c>
      <c r="H147" s="1" t="s">
        <v>24</v>
      </c>
      <c r="I147" s="1" t="s">
        <v>61</v>
      </c>
      <c r="J147" s="5">
        <v>0.12305555555555554</v>
      </c>
      <c r="K147" s="5">
        <v>3.246527777777778E-2</v>
      </c>
      <c r="L147" s="1" t="s">
        <v>125</v>
      </c>
      <c r="M147" s="1">
        <v>127410</v>
      </c>
      <c r="N147" s="1">
        <v>200249317</v>
      </c>
      <c r="O147" s="1">
        <v>1</v>
      </c>
      <c r="P147" s="3" t="e">
        <f>VLOOKUP(Tabla3[[#This Row],[Entrega]],#REF!,4)</f>
        <v>#REF!</v>
      </c>
      <c r="Q147" s="2" t="e">
        <f>VLOOKUP(Tabla3[[#This Row],[Entrega]],#REF!,5)</f>
        <v>#REF!</v>
      </c>
      <c r="R147" s="2" t="e">
        <f>VLOOKUP(Tabla3[[#This Row],[Entrega]],#REF!,7)</f>
        <v>#REF!</v>
      </c>
      <c r="S147" s="2" t="e">
        <f>VLOOKUP(Tabla3[[#This Row],[Entrega]],#REF!,19)</f>
        <v>#REF!</v>
      </c>
      <c r="T147" s="3" t="e">
        <f>VLOOKUP(Tabla3[[#This Row],[Entrega]],#REF!,20)</f>
        <v>#REF!</v>
      </c>
    </row>
    <row r="148" spans="1:20" x14ac:dyDescent="0.2">
      <c r="A148" s="1">
        <v>194517</v>
      </c>
      <c r="B148" s="4">
        <v>44832</v>
      </c>
      <c r="C148" s="1" t="s">
        <v>18</v>
      </c>
      <c r="D148" s="5">
        <v>0.80091435185185178</v>
      </c>
      <c r="E148" s="5">
        <v>0.8219212962962964</v>
      </c>
      <c r="F148" s="5">
        <v>0.8624074074074074</v>
      </c>
      <c r="G148" s="1">
        <v>800000001</v>
      </c>
      <c r="H148" s="1" t="s">
        <v>21</v>
      </c>
      <c r="I148" s="1" t="s">
        <v>80</v>
      </c>
      <c r="J148" s="5">
        <v>2.1006944444444443E-2</v>
      </c>
      <c r="K148" s="5">
        <v>4.0486111111111105E-2</v>
      </c>
      <c r="L148" s="1" t="s">
        <v>52</v>
      </c>
      <c r="M148" s="1">
        <v>127409</v>
      </c>
      <c r="N148" s="1">
        <v>200249318</v>
      </c>
      <c r="O148" s="1">
        <v>1</v>
      </c>
      <c r="P148" s="3" t="e">
        <f>VLOOKUP(Tabla3[[#This Row],[Entrega]],#REF!,4)</f>
        <v>#REF!</v>
      </c>
      <c r="Q148" s="2" t="e">
        <f>VLOOKUP(Tabla3[[#This Row],[Entrega]],#REF!,5)</f>
        <v>#REF!</v>
      </c>
      <c r="R148" s="2" t="e">
        <f>VLOOKUP(Tabla3[[#This Row],[Entrega]],#REF!,7)</f>
        <v>#REF!</v>
      </c>
      <c r="S148" s="2" t="e">
        <f>VLOOKUP(Tabla3[[#This Row],[Entrega]],#REF!,19)</f>
        <v>#REF!</v>
      </c>
      <c r="T148" s="3" t="e">
        <f>VLOOKUP(Tabla3[[#This Row],[Entrega]],#REF!,20)</f>
        <v>#REF!</v>
      </c>
    </row>
    <row r="149" spans="1:20" x14ac:dyDescent="0.2">
      <c r="A149" s="1">
        <v>194516</v>
      </c>
      <c r="B149" s="4">
        <v>44832</v>
      </c>
      <c r="C149" s="1" t="s">
        <v>16</v>
      </c>
      <c r="D149" s="5">
        <v>0.67202546296296306</v>
      </c>
      <c r="E149" s="5">
        <v>0.81128472222222225</v>
      </c>
      <c r="F149" s="5">
        <v>0.84601851851851861</v>
      </c>
      <c r="G149" s="1">
        <v>800000251</v>
      </c>
      <c r="H149" s="1" t="s">
        <v>38</v>
      </c>
      <c r="I149" s="1" t="s">
        <v>208</v>
      </c>
      <c r="J149" s="5">
        <v>0.13925925925925928</v>
      </c>
      <c r="K149" s="5">
        <v>3.4733796296296297E-2</v>
      </c>
      <c r="L149" s="1" t="s">
        <v>209</v>
      </c>
      <c r="M149" s="1">
        <v>127408</v>
      </c>
      <c r="N149" s="1">
        <v>200249316</v>
      </c>
      <c r="O149" s="1">
        <v>1</v>
      </c>
      <c r="P149" s="3" t="e">
        <f>VLOOKUP(Tabla3[[#This Row],[Entrega]],#REF!,4)</f>
        <v>#REF!</v>
      </c>
      <c r="Q149" s="2" t="e">
        <f>VLOOKUP(Tabla3[[#This Row],[Entrega]],#REF!,5)</f>
        <v>#REF!</v>
      </c>
      <c r="R149" s="2" t="e">
        <f>VLOOKUP(Tabla3[[#This Row],[Entrega]],#REF!,7)</f>
        <v>#REF!</v>
      </c>
      <c r="S149" s="2" t="e">
        <f>VLOOKUP(Tabla3[[#This Row],[Entrega]],#REF!,19)</f>
        <v>#REF!</v>
      </c>
      <c r="T149" s="3" t="e">
        <f>VLOOKUP(Tabla3[[#This Row],[Entrega]],#REF!,20)</f>
        <v>#REF!</v>
      </c>
    </row>
    <row r="150" spans="1:20" x14ac:dyDescent="0.2">
      <c r="A150" s="1">
        <v>194515</v>
      </c>
      <c r="B150" s="4">
        <v>44832</v>
      </c>
      <c r="C150" s="1" t="s">
        <v>16</v>
      </c>
      <c r="D150" s="5">
        <v>0.757349537037037</v>
      </c>
      <c r="E150" s="5">
        <v>0.77398148148148149</v>
      </c>
      <c r="F150" s="5">
        <v>0.826238425925926</v>
      </c>
      <c r="G150" s="1">
        <v>800000266</v>
      </c>
      <c r="H150" s="1" t="s">
        <v>25</v>
      </c>
      <c r="I150" s="1" t="s">
        <v>101</v>
      </c>
      <c r="J150" s="5">
        <v>1.6631944444444446E-2</v>
      </c>
      <c r="K150" s="5">
        <v>5.2256944444444446E-2</v>
      </c>
      <c r="L150" s="1" t="s">
        <v>103</v>
      </c>
      <c r="M150" s="1">
        <v>127407</v>
      </c>
      <c r="N150" s="1">
        <v>200249315</v>
      </c>
      <c r="O150" s="1">
        <v>1</v>
      </c>
      <c r="P150" s="3" t="e">
        <f>VLOOKUP(Tabla3[[#This Row],[Entrega]],#REF!,4)</f>
        <v>#REF!</v>
      </c>
      <c r="Q150" s="2" t="e">
        <f>VLOOKUP(Tabla3[[#This Row],[Entrega]],#REF!,5)</f>
        <v>#REF!</v>
      </c>
      <c r="R150" s="2" t="e">
        <f>VLOOKUP(Tabla3[[#This Row],[Entrega]],#REF!,7)</f>
        <v>#REF!</v>
      </c>
      <c r="S150" s="2" t="e">
        <f>VLOOKUP(Tabla3[[#This Row],[Entrega]],#REF!,19)</f>
        <v>#REF!</v>
      </c>
      <c r="T150" s="3" t="e">
        <f>VLOOKUP(Tabla3[[#This Row],[Entrega]],#REF!,20)</f>
        <v>#REF!</v>
      </c>
    </row>
    <row r="151" spans="1:20" x14ac:dyDescent="0.2">
      <c r="A151" s="1">
        <v>194514</v>
      </c>
      <c r="B151" s="4">
        <v>44832</v>
      </c>
      <c r="C151" s="1" t="s">
        <v>16</v>
      </c>
      <c r="D151" s="5">
        <v>0.60340277777777784</v>
      </c>
      <c r="E151" s="5">
        <v>0.7699421296296296</v>
      </c>
      <c r="F151" s="5">
        <v>0.81611111111111112</v>
      </c>
      <c r="G151" s="1">
        <v>800000014</v>
      </c>
      <c r="H151" s="1" t="s">
        <v>29</v>
      </c>
      <c r="I151" s="1" t="s">
        <v>210</v>
      </c>
      <c r="J151" s="5">
        <v>0.16653935185185184</v>
      </c>
      <c r="K151" s="5">
        <v>4.6168981481481484E-2</v>
      </c>
      <c r="L151" s="1" t="s">
        <v>211</v>
      </c>
      <c r="M151" s="1">
        <v>127406</v>
      </c>
      <c r="N151" s="1">
        <v>200249314</v>
      </c>
      <c r="O151" s="1">
        <v>1</v>
      </c>
      <c r="P151" s="3" t="e">
        <f>VLOOKUP(Tabla3[[#This Row],[Entrega]],#REF!,4)</f>
        <v>#REF!</v>
      </c>
      <c r="Q151" s="2" t="e">
        <f>VLOOKUP(Tabla3[[#This Row],[Entrega]],#REF!,5)</f>
        <v>#REF!</v>
      </c>
      <c r="R151" s="2" t="e">
        <f>VLOOKUP(Tabla3[[#This Row],[Entrega]],#REF!,7)</f>
        <v>#REF!</v>
      </c>
      <c r="S151" s="2" t="e">
        <f>VLOOKUP(Tabla3[[#This Row],[Entrega]],#REF!,19)</f>
        <v>#REF!</v>
      </c>
      <c r="T151" s="3" t="e">
        <f>VLOOKUP(Tabla3[[#This Row],[Entrega]],#REF!,20)</f>
        <v>#REF!</v>
      </c>
    </row>
    <row r="152" spans="1:20" x14ac:dyDescent="0.2">
      <c r="A152" s="1">
        <v>194513</v>
      </c>
      <c r="B152" s="4">
        <v>44832</v>
      </c>
      <c r="C152" s="1" t="s">
        <v>16</v>
      </c>
      <c r="D152" s="5">
        <v>0.59758101851851853</v>
      </c>
      <c r="E152" s="5">
        <v>0.71655092592592595</v>
      </c>
      <c r="F152" s="5">
        <v>0.81114583333333334</v>
      </c>
      <c r="G152" s="1">
        <v>800000251</v>
      </c>
      <c r="H152" s="1" t="s">
        <v>38</v>
      </c>
      <c r="I152" s="1" t="s">
        <v>212</v>
      </c>
      <c r="J152" s="5">
        <v>0.11896990740740741</v>
      </c>
      <c r="K152" s="5">
        <v>9.4594907407407405E-2</v>
      </c>
      <c r="L152" s="1" t="s">
        <v>213</v>
      </c>
      <c r="M152" s="1">
        <v>127405</v>
      </c>
      <c r="N152" s="1">
        <v>200249313</v>
      </c>
      <c r="O152" s="1">
        <v>1</v>
      </c>
      <c r="P152" s="3" t="e">
        <f>VLOOKUP(Tabla3[[#This Row],[Entrega]],#REF!,4)</f>
        <v>#REF!</v>
      </c>
      <c r="Q152" s="2" t="e">
        <f>VLOOKUP(Tabla3[[#This Row],[Entrega]],#REF!,5)</f>
        <v>#REF!</v>
      </c>
      <c r="R152" s="2" t="e">
        <f>VLOOKUP(Tabla3[[#This Row],[Entrega]],#REF!,7)</f>
        <v>#REF!</v>
      </c>
      <c r="S152" s="2" t="e">
        <f>VLOOKUP(Tabla3[[#This Row],[Entrega]],#REF!,19)</f>
        <v>#REF!</v>
      </c>
      <c r="T152" s="3" t="e">
        <f>VLOOKUP(Tabla3[[#This Row],[Entrega]],#REF!,20)</f>
        <v>#REF!</v>
      </c>
    </row>
    <row r="153" spans="1:20" x14ac:dyDescent="0.2">
      <c r="A153" s="1">
        <v>194512</v>
      </c>
      <c r="B153" s="4">
        <v>44832</v>
      </c>
      <c r="C153" s="1" t="s">
        <v>16</v>
      </c>
      <c r="D153" s="5">
        <v>0.58902777777777782</v>
      </c>
      <c r="E153" s="5">
        <v>0.71371527777777777</v>
      </c>
      <c r="F153" s="5">
        <v>0.75648148148148142</v>
      </c>
      <c r="G153" s="1">
        <v>800000251</v>
      </c>
      <c r="H153" s="1" t="s">
        <v>38</v>
      </c>
      <c r="I153" s="1" t="s">
        <v>214</v>
      </c>
      <c r="J153" s="5">
        <v>0.12468749999999999</v>
      </c>
      <c r="K153" s="5">
        <v>4.2766203703703702E-2</v>
      </c>
      <c r="L153" s="1" t="s">
        <v>215</v>
      </c>
      <c r="M153" s="1">
        <v>127404</v>
      </c>
      <c r="N153" s="1">
        <v>200249312</v>
      </c>
      <c r="O153" s="1">
        <v>1</v>
      </c>
      <c r="P153" s="3" t="e">
        <f>VLOOKUP(Tabla3[[#This Row],[Entrega]],#REF!,4)</f>
        <v>#REF!</v>
      </c>
      <c r="Q153" s="2" t="e">
        <f>VLOOKUP(Tabla3[[#This Row],[Entrega]],#REF!,5)</f>
        <v>#REF!</v>
      </c>
      <c r="R153" s="2" t="e">
        <f>VLOOKUP(Tabla3[[#This Row],[Entrega]],#REF!,7)</f>
        <v>#REF!</v>
      </c>
      <c r="S153" s="2" t="e">
        <f>VLOOKUP(Tabla3[[#This Row],[Entrega]],#REF!,19)</f>
        <v>#REF!</v>
      </c>
      <c r="T153" s="3" t="e">
        <f>VLOOKUP(Tabla3[[#This Row],[Entrega]],#REF!,20)</f>
        <v>#REF!</v>
      </c>
    </row>
    <row r="154" spans="1:20" x14ac:dyDescent="0.2">
      <c r="A154" s="1">
        <v>194511</v>
      </c>
      <c r="B154" s="4">
        <v>44832</v>
      </c>
      <c r="C154" s="1" t="s">
        <v>18</v>
      </c>
      <c r="D154" s="5">
        <v>0.52195601851851847</v>
      </c>
      <c r="E154" s="5">
        <v>0.68534722222222222</v>
      </c>
      <c r="F154" s="5">
        <v>0.73126157407407411</v>
      </c>
      <c r="G154" s="1">
        <v>800000418</v>
      </c>
      <c r="H154" s="1" t="s">
        <v>19</v>
      </c>
      <c r="I154" s="1" t="s">
        <v>216</v>
      </c>
      <c r="J154" s="5">
        <v>0.16339120370370372</v>
      </c>
      <c r="K154" s="5">
        <v>4.5914351851851852E-2</v>
      </c>
      <c r="L154" s="1" t="s">
        <v>217</v>
      </c>
      <c r="M154" s="1">
        <v>127403</v>
      </c>
      <c r="N154" s="1">
        <v>200249310</v>
      </c>
      <c r="O154" s="1">
        <v>1</v>
      </c>
      <c r="P154" s="3" t="e">
        <f>VLOOKUP(Tabla3[[#This Row],[Entrega]],#REF!,4)</f>
        <v>#REF!</v>
      </c>
      <c r="Q154" s="2" t="e">
        <f>VLOOKUP(Tabla3[[#This Row],[Entrega]],#REF!,5)</f>
        <v>#REF!</v>
      </c>
      <c r="R154" s="2" t="e">
        <f>VLOOKUP(Tabla3[[#This Row],[Entrega]],#REF!,7)</f>
        <v>#REF!</v>
      </c>
      <c r="S154" s="2" t="e">
        <f>VLOOKUP(Tabla3[[#This Row],[Entrega]],#REF!,19)</f>
        <v>#REF!</v>
      </c>
      <c r="T154" s="3" t="e">
        <f>VLOOKUP(Tabla3[[#This Row],[Entrega]],#REF!,20)</f>
        <v>#REF!</v>
      </c>
    </row>
    <row r="155" spans="1:20" x14ac:dyDescent="0.2">
      <c r="A155" s="1">
        <v>194510</v>
      </c>
      <c r="B155" s="4">
        <v>44832</v>
      </c>
      <c r="C155" s="1" t="s">
        <v>16</v>
      </c>
      <c r="D155" s="5">
        <v>0.58582175925925928</v>
      </c>
      <c r="E155" s="5">
        <v>0.66738425925925926</v>
      </c>
      <c r="F155" s="5">
        <v>0.72217592592592583</v>
      </c>
      <c r="G155" s="1">
        <v>800000251</v>
      </c>
      <c r="H155" s="1" t="s">
        <v>38</v>
      </c>
      <c r="I155" s="1" t="s">
        <v>128</v>
      </c>
      <c r="J155" s="5">
        <v>8.1562499999999996E-2</v>
      </c>
      <c r="K155" s="5">
        <v>5.4791666666666662E-2</v>
      </c>
      <c r="L155" s="1" t="s">
        <v>129</v>
      </c>
      <c r="M155" s="1">
        <v>127402</v>
      </c>
      <c r="N155" s="1">
        <v>200249311</v>
      </c>
      <c r="O155" s="1">
        <v>1</v>
      </c>
      <c r="P155" s="3" t="e">
        <f>VLOOKUP(Tabla3[[#This Row],[Entrega]],#REF!,4)</f>
        <v>#REF!</v>
      </c>
      <c r="Q155" s="2" t="e">
        <f>VLOOKUP(Tabla3[[#This Row],[Entrega]],#REF!,5)</f>
        <v>#REF!</v>
      </c>
      <c r="R155" s="2" t="e">
        <f>VLOOKUP(Tabla3[[#This Row],[Entrega]],#REF!,7)</f>
        <v>#REF!</v>
      </c>
      <c r="S155" s="2" t="e">
        <f>VLOOKUP(Tabla3[[#This Row],[Entrega]],#REF!,19)</f>
        <v>#REF!</v>
      </c>
      <c r="T155" s="3" t="e">
        <f>VLOOKUP(Tabla3[[#This Row],[Entrega]],#REF!,20)</f>
        <v>#REF!</v>
      </c>
    </row>
    <row r="156" spans="1:20" x14ac:dyDescent="0.2">
      <c r="A156" s="1">
        <v>194356</v>
      </c>
      <c r="B156" s="4">
        <v>44831</v>
      </c>
      <c r="C156" s="1" t="s">
        <v>16</v>
      </c>
      <c r="D156" s="5">
        <v>0.44239583333333332</v>
      </c>
      <c r="E156" s="5">
        <v>0.6330324074074074</v>
      </c>
      <c r="F156" s="5">
        <v>0.68026620370370372</v>
      </c>
      <c r="G156" s="1">
        <v>800000670</v>
      </c>
      <c r="H156" s="1" t="s">
        <v>44</v>
      </c>
      <c r="I156" s="1" t="s">
        <v>77</v>
      </c>
      <c r="J156" s="5">
        <v>0.19063657407407408</v>
      </c>
      <c r="K156" s="5">
        <v>4.7233796296296295E-2</v>
      </c>
      <c r="L156" s="1" t="s">
        <v>79</v>
      </c>
      <c r="M156" s="1">
        <v>55313</v>
      </c>
      <c r="N156" s="1">
        <v>83324166</v>
      </c>
      <c r="O156" s="1">
        <v>1</v>
      </c>
      <c r="P156" s="3" t="e">
        <f>VLOOKUP(Tabla3[[#This Row],[Entrega]],#REF!,4)</f>
        <v>#REF!</v>
      </c>
      <c r="Q156" s="2" t="e">
        <f>VLOOKUP(Tabla3[[#This Row],[Entrega]],#REF!,5)</f>
        <v>#REF!</v>
      </c>
      <c r="R156" s="2" t="e">
        <f>VLOOKUP(Tabla3[[#This Row],[Entrega]],#REF!,7)</f>
        <v>#REF!</v>
      </c>
      <c r="S156" s="2" t="e">
        <f>VLOOKUP(Tabla3[[#This Row],[Entrega]],#REF!,19)</f>
        <v>#REF!</v>
      </c>
      <c r="T156" s="3" t="e">
        <f>VLOOKUP(Tabla3[[#This Row],[Entrega]],#REF!,20)</f>
        <v>#REF!</v>
      </c>
    </row>
    <row r="157" spans="1:20" x14ac:dyDescent="0.2">
      <c r="A157" s="1">
        <v>194508</v>
      </c>
      <c r="B157" s="4">
        <v>44832</v>
      </c>
      <c r="C157" s="1" t="s">
        <v>16</v>
      </c>
      <c r="D157" s="5">
        <v>0.51645833333333335</v>
      </c>
      <c r="E157" s="5">
        <v>0.62886574074074075</v>
      </c>
      <c r="F157" s="5">
        <v>0.69721064814814815</v>
      </c>
      <c r="G157" s="1">
        <v>800000268</v>
      </c>
      <c r="H157" s="1" t="s">
        <v>24</v>
      </c>
      <c r="I157" s="1" t="s">
        <v>111</v>
      </c>
      <c r="J157" s="5">
        <v>0.1124074074074074</v>
      </c>
      <c r="K157" s="5">
        <v>6.834490740740741E-2</v>
      </c>
      <c r="L157" s="1" t="s">
        <v>112</v>
      </c>
      <c r="M157" s="1">
        <v>127401</v>
      </c>
      <c r="N157" s="1">
        <v>200249309</v>
      </c>
      <c r="O157" s="1">
        <v>1</v>
      </c>
      <c r="P157" s="3" t="e">
        <f>VLOOKUP(Tabla3[[#This Row],[Entrega]],#REF!,4)</f>
        <v>#REF!</v>
      </c>
      <c r="Q157" s="2" t="e">
        <f>VLOOKUP(Tabla3[[#This Row],[Entrega]],#REF!,5)</f>
        <v>#REF!</v>
      </c>
      <c r="R157" s="2" t="e">
        <f>VLOOKUP(Tabla3[[#This Row],[Entrega]],#REF!,7)</f>
        <v>#REF!</v>
      </c>
      <c r="S157" s="2" t="e">
        <f>VLOOKUP(Tabla3[[#This Row],[Entrega]],#REF!,19)</f>
        <v>#REF!</v>
      </c>
      <c r="T157" s="3" t="e">
        <f>VLOOKUP(Tabla3[[#This Row],[Entrega]],#REF!,20)</f>
        <v>#REF!</v>
      </c>
    </row>
    <row r="158" spans="1:20" x14ac:dyDescent="0.2">
      <c r="A158" s="1">
        <v>194454</v>
      </c>
      <c r="B158" s="4">
        <v>44832</v>
      </c>
      <c r="C158" s="1" t="s">
        <v>91</v>
      </c>
      <c r="D158" s="5">
        <v>0.47219907407407408</v>
      </c>
      <c r="E158" s="5">
        <v>0.56427083333333339</v>
      </c>
      <c r="F158" s="5">
        <v>0.56649305555555551</v>
      </c>
      <c r="G158" s="1">
        <v>650000005</v>
      </c>
      <c r="H158" s="1" t="s">
        <v>44</v>
      </c>
      <c r="I158" s="1" t="s">
        <v>221</v>
      </c>
      <c r="J158" s="5">
        <v>9.2071759259259256E-2</v>
      </c>
      <c r="K158" s="5">
        <v>2.2222222222222222E-3</v>
      </c>
      <c r="L158" s="1" t="s">
        <v>222</v>
      </c>
      <c r="M158" s="1">
        <v>55337</v>
      </c>
      <c r="N158" s="1">
        <v>83324309</v>
      </c>
      <c r="O158" s="1">
        <v>1</v>
      </c>
      <c r="P158" s="3" t="e">
        <f>VLOOKUP(Tabla3[[#This Row],[Entrega]],#REF!,4)</f>
        <v>#REF!</v>
      </c>
      <c r="Q158" s="2" t="e">
        <f>VLOOKUP(Tabla3[[#This Row],[Entrega]],#REF!,5)</f>
        <v>#REF!</v>
      </c>
      <c r="R158" s="2" t="e">
        <f>VLOOKUP(Tabla3[[#This Row],[Entrega]],#REF!,7)</f>
        <v>#REF!</v>
      </c>
      <c r="S158" s="2" t="e">
        <f>VLOOKUP(Tabla3[[#This Row],[Entrega]],#REF!,19)</f>
        <v>#REF!</v>
      </c>
      <c r="T158" s="3" t="e">
        <f>VLOOKUP(Tabla3[[#This Row],[Entrega]],#REF!,20)</f>
        <v>#REF!</v>
      </c>
    </row>
    <row r="159" spans="1:20" x14ac:dyDescent="0.2">
      <c r="A159" s="1">
        <v>194506</v>
      </c>
      <c r="B159" s="4">
        <v>44832</v>
      </c>
      <c r="C159" s="1" t="s">
        <v>16</v>
      </c>
      <c r="D159" s="5">
        <v>0.51031250000000006</v>
      </c>
      <c r="E159" s="5">
        <v>0.62884259259259256</v>
      </c>
      <c r="F159" s="5">
        <v>0.67451388888888886</v>
      </c>
      <c r="G159" s="1">
        <v>800000267</v>
      </c>
      <c r="H159" s="1" t="s">
        <v>32</v>
      </c>
      <c r="I159" s="1" t="s">
        <v>113</v>
      </c>
      <c r="J159" s="5">
        <v>0.11853009259259258</v>
      </c>
      <c r="K159" s="5">
        <v>4.5671296296296293E-2</v>
      </c>
      <c r="L159" s="1" t="s">
        <v>114</v>
      </c>
      <c r="M159" s="1">
        <v>127400</v>
      </c>
      <c r="N159" s="1">
        <v>200249308</v>
      </c>
      <c r="O159" s="1">
        <v>1</v>
      </c>
      <c r="P159" s="3" t="e">
        <f>VLOOKUP(Tabla3[[#This Row],[Entrega]],#REF!,4)</f>
        <v>#REF!</v>
      </c>
      <c r="Q159" s="2" t="e">
        <f>VLOOKUP(Tabla3[[#This Row],[Entrega]],#REF!,5)</f>
        <v>#REF!</v>
      </c>
      <c r="R159" s="2" t="e">
        <f>VLOOKUP(Tabla3[[#This Row],[Entrega]],#REF!,7)</f>
        <v>#REF!</v>
      </c>
      <c r="S159" s="2" t="e">
        <f>VLOOKUP(Tabla3[[#This Row],[Entrega]],#REF!,19)</f>
        <v>#REF!</v>
      </c>
      <c r="T159" s="3" t="e">
        <f>VLOOKUP(Tabla3[[#This Row],[Entrega]],#REF!,20)</f>
        <v>#REF!</v>
      </c>
    </row>
    <row r="160" spans="1:20" x14ac:dyDescent="0.2">
      <c r="A160" s="1">
        <v>194505</v>
      </c>
      <c r="B160" s="4">
        <v>44832</v>
      </c>
      <c r="C160" s="1" t="s">
        <v>16</v>
      </c>
      <c r="D160" s="5">
        <v>0.50763888888888886</v>
      </c>
      <c r="E160" s="5">
        <v>0.57583333333333331</v>
      </c>
      <c r="F160" s="5">
        <v>0.63476851851851845</v>
      </c>
      <c r="G160" s="1">
        <v>800000250</v>
      </c>
      <c r="H160" s="1" t="s">
        <v>86</v>
      </c>
      <c r="I160" s="1" t="s">
        <v>104</v>
      </c>
      <c r="J160" s="5">
        <v>6.8194444444444446E-2</v>
      </c>
      <c r="K160" s="5">
        <v>5.8935185185185181E-2</v>
      </c>
      <c r="L160" s="1" t="s">
        <v>124</v>
      </c>
      <c r="M160" s="1">
        <v>127399</v>
      </c>
      <c r="N160" s="1">
        <v>200249306</v>
      </c>
      <c r="O160" s="1">
        <v>1</v>
      </c>
      <c r="P160" s="3" t="e">
        <f>VLOOKUP(Tabla3[[#This Row],[Entrega]],#REF!,4)</f>
        <v>#REF!</v>
      </c>
      <c r="Q160" s="2" t="e">
        <f>VLOOKUP(Tabla3[[#This Row],[Entrega]],#REF!,5)</f>
        <v>#REF!</v>
      </c>
      <c r="R160" s="2" t="e">
        <f>VLOOKUP(Tabla3[[#This Row],[Entrega]],#REF!,7)</f>
        <v>#REF!</v>
      </c>
      <c r="S160" s="2" t="e">
        <f>VLOOKUP(Tabla3[[#This Row],[Entrega]],#REF!,19)</f>
        <v>#REF!</v>
      </c>
      <c r="T160" s="3" t="e">
        <f>VLOOKUP(Tabla3[[#This Row],[Entrega]],#REF!,20)</f>
        <v>#REF!</v>
      </c>
    </row>
    <row r="161" spans="1:20" x14ac:dyDescent="0.2">
      <c r="A161" s="1">
        <v>194504</v>
      </c>
      <c r="B161" s="4">
        <v>44832</v>
      </c>
      <c r="C161" s="1" t="s">
        <v>16</v>
      </c>
      <c r="D161" s="5">
        <v>0.50935185185185183</v>
      </c>
      <c r="E161" s="5">
        <v>0.58223379629629635</v>
      </c>
      <c r="F161" s="5">
        <v>0.62211805555555555</v>
      </c>
      <c r="G161" s="1">
        <v>800000269</v>
      </c>
      <c r="H161" s="1" t="s">
        <v>36</v>
      </c>
      <c r="I161" s="1" t="s">
        <v>68</v>
      </c>
      <c r="J161" s="5">
        <v>7.2881944444444444E-2</v>
      </c>
      <c r="K161" s="5">
        <v>3.9884259259259258E-2</v>
      </c>
      <c r="L161" s="1" t="s">
        <v>170</v>
      </c>
      <c r="M161" s="1">
        <v>127398</v>
      </c>
      <c r="N161" s="1">
        <v>200249307</v>
      </c>
      <c r="O161" s="1">
        <v>1</v>
      </c>
      <c r="P161" s="3" t="e">
        <f>VLOOKUP(Tabla3[[#This Row],[Entrega]],#REF!,4)</f>
        <v>#REF!</v>
      </c>
      <c r="Q161" s="2" t="e">
        <f>VLOOKUP(Tabla3[[#This Row],[Entrega]],#REF!,5)</f>
        <v>#REF!</v>
      </c>
      <c r="R161" s="2" t="e">
        <f>VLOOKUP(Tabla3[[#This Row],[Entrega]],#REF!,7)</f>
        <v>#REF!</v>
      </c>
      <c r="S161" s="2" t="e">
        <f>VLOOKUP(Tabla3[[#This Row],[Entrega]],#REF!,19)</f>
        <v>#REF!</v>
      </c>
      <c r="T161" s="3" t="e">
        <f>VLOOKUP(Tabla3[[#This Row],[Entrega]],#REF!,20)</f>
        <v>#REF!</v>
      </c>
    </row>
    <row r="162" spans="1:20" x14ac:dyDescent="0.2">
      <c r="A162" s="1">
        <v>194503</v>
      </c>
      <c r="B162" s="4">
        <v>44832</v>
      </c>
      <c r="C162" s="1" t="s">
        <v>87</v>
      </c>
      <c r="D162" s="5">
        <v>0.56224537037037037</v>
      </c>
      <c r="E162" s="5">
        <v>0.5758564814814815</v>
      </c>
      <c r="F162" s="5">
        <v>0.59075231481481483</v>
      </c>
      <c r="G162" s="1">
        <v>800000891</v>
      </c>
      <c r="H162" s="1" t="s">
        <v>44</v>
      </c>
      <c r="I162" s="1" t="s">
        <v>67</v>
      </c>
      <c r="J162" s="5">
        <v>1.3611111111111114E-2</v>
      </c>
      <c r="K162" s="5">
        <v>1.4895833333333332E-2</v>
      </c>
      <c r="L162" s="1" t="s">
        <v>98</v>
      </c>
      <c r="M162" s="1">
        <v>55340</v>
      </c>
      <c r="N162" s="1">
        <v>83324312</v>
      </c>
      <c r="O162" s="1">
        <v>1</v>
      </c>
      <c r="P162" s="3" t="e">
        <f>VLOOKUP(Tabla3[[#This Row],[Entrega]],#REF!,4)</f>
        <v>#REF!</v>
      </c>
      <c r="Q162" s="2" t="e">
        <f>VLOOKUP(Tabla3[[#This Row],[Entrega]],#REF!,5)</f>
        <v>#REF!</v>
      </c>
      <c r="R162" s="2" t="e">
        <f>VLOOKUP(Tabla3[[#This Row],[Entrega]],#REF!,7)</f>
        <v>#REF!</v>
      </c>
      <c r="S162" s="2" t="e">
        <f>VLOOKUP(Tabla3[[#This Row],[Entrega]],#REF!,19)</f>
        <v>#REF!</v>
      </c>
      <c r="T162" s="3" t="e">
        <f>VLOOKUP(Tabla3[[#This Row],[Entrega]],#REF!,20)</f>
        <v>#REF!</v>
      </c>
    </row>
    <row r="163" spans="1:20" x14ac:dyDescent="0.2">
      <c r="A163" s="1">
        <v>194669</v>
      </c>
      <c r="B163" s="4">
        <v>44833</v>
      </c>
      <c r="C163" s="11" t="s">
        <v>16</v>
      </c>
      <c r="D163" s="5">
        <v>0.66121527777777778</v>
      </c>
      <c r="E163" s="5">
        <v>0.77135416666666667</v>
      </c>
      <c r="F163" s="5">
        <v>0.82101851851851848</v>
      </c>
      <c r="G163" s="1">
        <v>800000670</v>
      </c>
      <c r="H163" s="1" t="s">
        <v>44</v>
      </c>
      <c r="I163" s="1" t="s">
        <v>94</v>
      </c>
      <c r="J163" s="5">
        <v>0.1101388888888889</v>
      </c>
      <c r="K163" s="5">
        <v>4.9664351851851855E-2</v>
      </c>
      <c r="L163" s="1" t="s">
        <v>184</v>
      </c>
      <c r="M163" s="1">
        <v>55362</v>
      </c>
      <c r="N163" s="1">
        <v>83324541</v>
      </c>
      <c r="O163" s="1">
        <v>1</v>
      </c>
      <c r="P163" s="3" t="e">
        <f>VLOOKUP(Tabla3[[#This Row],[Entrega]],#REF!,4)</f>
        <v>#REF!</v>
      </c>
      <c r="Q163" s="2" t="e">
        <f>VLOOKUP(Tabla3[[#This Row],[Entrega]],#REF!,5)</f>
        <v>#REF!</v>
      </c>
      <c r="R163" s="2" t="e">
        <f>VLOOKUP(Tabla3[[#This Row],[Entrega]],#REF!,7)</f>
        <v>#REF!</v>
      </c>
      <c r="S163" s="2" t="e">
        <f>VLOOKUP(Tabla3[[#This Row],[Entrega]],#REF!,19)</f>
        <v>#REF!</v>
      </c>
      <c r="T163" s="3" t="e">
        <f>VLOOKUP(Tabla3[[#This Row],[Entrega]],#REF!,20)</f>
        <v>#REF!</v>
      </c>
    </row>
    <row r="164" spans="1:20" x14ac:dyDescent="0.2">
      <c r="A164" s="1">
        <v>194455</v>
      </c>
      <c r="B164" s="4">
        <v>44832</v>
      </c>
      <c r="C164" s="1" t="s">
        <v>87</v>
      </c>
      <c r="D164" s="5">
        <v>0.52403935185185191</v>
      </c>
      <c r="E164" s="5">
        <v>0.55576388888888884</v>
      </c>
      <c r="F164" s="5">
        <v>0.57243055555555555</v>
      </c>
      <c r="G164" s="1">
        <v>800000891</v>
      </c>
      <c r="H164" s="1" t="s">
        <v>44</v>
      </c>
      <c r="I164" s="1" t="s">
        <v>46</v>
      </c>
      <c r="J164" s="5">
        <v>3.172453703703703E-2</v>
      </c>
      <c r="K164" s="5">
        <v>1.6666666666666666E-2</v>
      </c>
      <c r="L164" s="1" t="s">
        <v>76</v>
      </c>
      <c r="M164" s="1">
        <v>55336</v>
      </c>
      <c r="N164" s="1">
        <v>83324308</v>
      </c>
      <c r="O164" s="1">
        <v>1</v>
      </c>
      <c r="P164" s="3" t="e">
        <f>VLOOKUP(Tabla3[[#This Row],[Entrega]],#REF!,4)</f>
        <v>#REF!</v>
      </c>
      <c r="Q164" s="2" t="e">
        <f>VLOOKUP(Tabla3[[#This Row],[Entrega]],#REF!,5)</f>
        <v>#REF!</v>
      </c>
      <c r="R164" s="2" t="e">
        <f>VLOOKUP(Tabla3[[#This Row],[Entrega]],#REF!,7)</f>
        <v>#REF!</v>
      </c>
      <c r="S164" s="2" t="e">
        <f>VLOOKUP(Tabla3[[#This Row],[Entrega]],#REF!,19)</f>
        <v>#REF!</v>
      </c>
      <c r="T164" s="3" t="e">
        <f>VLOOKUP(Tabla3[[#This Row],[Entrega]],#REF!,20)</f>
        <v>#REF!</v>
      </c>
    </row>
    <row r="165" spans="1:20" x14ac:dyDescent="0.2">
      <c r="A165" s="1">
        <v>194444</v>
      </c>
      <c r="B165" s="4">
        <v>44832</v>
      </c>
      <c r="C165" s="1" t="s">
        <v>91</v>
      </c>
      <c r="D165" s="5">
        <v>0.36730324074074078</v>
      </c>
      <c r="E165" s="5">
        <v>0.43427083333333333</v>
      </c>
      <c r="F165" s="5">
        <v>0.4412152777777778</v>
      </c>
      <c r="G165" s="1">
        <v>650000005</v>
      </c>
      <c r="H165" s="1" t="s">
        <v>44</v>
      </c>
      <c r="I165" s="1" t="s">
        <v>225</v>
      </c>
      <c r="J165" s="5">
        <v>6.6967592592592592E-2</v>
      </c>
      <c r="K165" s="5">
        <v>6.9444444444444441E-3</v>
      </c>
      <c r="L165" s="1" t="s">
        <v>121</v>
      </c>
      <c r="M165" s="1">
        <v>55328</v>
      </c>
      <c r="N165" s="1">
        <v>83324266</v>
      </c>
      <c r="O165" s="1">
        <v>1</v>
      </c>
      <c r="P165" s="3" t="e">
        <f>VLOOKUP(Tabla3[[#This Row],[Entrega]],#REF!,4)</f>
        <v>#REF!</v>
      </c>
      <c r="Q165" s="2" t="e">
        <f>VLOOKUP(Tabla3[[#This Row],[Entrega]],#REF!,5)</f>
        <v>#REF!</v>
      </c>
      <c r="R165" s="2" t="e">
        <f>VLOOKUP(Tabla3[[#This Row],[Entrega]],#REF!,7)</f>
        <v>#REF!</v>
      </c>
      <c r="S165" s="2" t="e">
        <f>VLOOKUP(Tabla3[[#This Row],[Entrega]],#REF!,19)</f>
        <v>#REF!</v>
      </c>
      <c r="T165" s="3" t="e">
        <f>VLOOKUP(Tabla3[[#This Row],[Entrega]],#REF!,20)</f>
        <v>#REF!</v>
      </c>
    </row>
    <row r="166" spans="1:20" x14ac:dyDescent="0.2">
      <c r="A166" s="1">
        <v>194453</v>
      </c>
      <c r="B166" s="4">
        <v>44832</v>
      </c>
      <c r="C166" s="1" t="s">
        <v>87</v>
      </c>
      <c r="D166" s="5">
        <v>0.52002314814814821</v>
      </c>
      <c r="E166" s="5">
        <v>0.52246527777777774</v>
      </c>
      <c r="F166" s="5">
        <v>0.54677083333333332</v>
      </c>
      <c r="G166" s="1">
        <v>800000891</v>
      </c>
      <c r="H166" s="1" t="s">
        <v>44</v>
      </c>
      <c r="I166" s="1" t="s">
        <v>45</v>
      </c>
      <c r="J166" s="5">
        <v>2.4421296296296296E-3</v>
      </c>
      <c r="K166" s="5">
        <v>2.4305555555555556E-2</v>
      </c>
      <c r="L166" s="1" t="s">
        <v>160</v>
      </c>
      <c r="M166" s="1">
        <v>55333</v>
      </c>
      <c r="N166" s="1">
        <v>83324300</v>
      </c>
      <c r="O166" s="1">
        <v>1</v>
      </c>
      <c r="P166" s="3" t="e">
        <f>VLOOKUP(Tabla3[[#This Row],[Entrega]],#REF!,4)</f>
        <v>#REF!</v>
      </c>
      <c r="Q166" s="2" t="e">
        <f>VLOOKUP(Tabla3[[#This Row],[Entrega]],#REF!,5)</f>
        <v>#REF!</v>
      </c>
      <c r="R166" s="2" t="e">
        <f>VLOOKUP(Tabla3[[#This Row],[Entrega]],#REF!,7)</f>
        <v>#REF!</v>
      </c>
      <c r="S166" s="2" t="e">
        <f>VLOOKUP(Tabla3[[#This Row],[Entrega]],#REF!,19)</f>
        <v>#REF!</v>
      </c>
      <c r="T166" s="3" t="e">
        <f>VLOOKUP(Tabla3[[#This Row],[Entrega]],#REF!,20)</f>
        <v>#REF!</v>
      </c>
    </row>
    <row r="167" spans="1:20" x14ac:dyDescent="0.2">
      <c r="A167" s="1">
        <v>194452</v>
      </c>
      <c r="B167" s="4">
        <v>44832</v>
      </c>
      <c r="C167" s="1" t="s">
        <v>16</v>
      </c>
      <c r="D167" s="5">
        <v>0.4098148148148148</v>
      </c>
      <c r="E167" s="5">
        <v>0.48975694444444445</v>
      </c>
      <c r="F167" s="5">
        <v>0.53593750000000007</v>
      </c>
      <c r="G167" s="1">
        <v>800000250</v>
      </c>
      <c r="H167" s="1" t="s">
        <v>86</v>
      </c>
      <c r="I167" s="1" t="s">
        <v>89</v>
      </c>
      <c r="J167" s="5">
        <v>7.9942129629629641E-2</v>
      </c>
      <c r="K167" s="5">
        <v>4.6180555555555558E-2</v>
      </c>
      <c r="L167" s="1" t="s">
        <v>90</v>
      </c>
      <c r="M167" s="1">
        <v>127397</v>
      </c>
      <c r="N167" s="1">
        <v>200249305</v>
      </c>
      <c r="O167" s="1">
        <v>1</v>
      </c>
      <c r="P167" s="3" t="e">
        <f>VLOOKUP(Tabla3[[#This Row],[Entrega]],#REF!,4)</f>
        <v>#REF!</v>
      </c>
      <c r="Q167" s="2" t="e">
        <f>VLOOKUP(Tabla3[[#This Row],[Entrega]],#REF!,5)</f>
        <v>#REF!</v>
      </c>
      <c r="R167" s="2" t="e">
        <f>VLOOKUP(Tabla3[[#This Row],[Entrega]],#REF!,7)</f>
        <v>#REF!</v>
      </c>
      <c r="S167" s="2" t="e">
        <f>VLOOKUP(Tabla3[[#This Row],[Entrega]],#REF!,19)</f>
        <v>#REF!</v>
      </c>
      <c r="T167" s="3" t="e">
        <f>VLOOKUP(Tabla3[[#This Row],[Entrega]],#REF!,20)</f>
        <v>#REF!</v>
      </c>
    </row>
    <row r="168" spans="1:20" x14ac:dyDescent="0.2">
      <c r="A168" s="1">
        <v>194451</v>
      </c>
      <c r="B168" s="4">
        <v>44832</v>
      </c>
      <c r="C168" s="1" t="s">
        <v>87</v>
      </c>
      <c r="D168" s="5">
        <v>0.51086805555555559</v>
      </c>
      <c r="E168" s="5">
        <v>0.51915509259259263</v>
      </c>
      <c r="F168" s="5">
        <v>0.53373842592592591</v>
      </c>
      <c r="G168" s="1">
        <v>800000891</v>
      </c>
      <c r="H168" s="1" t="s">
        <v>44</v>
      </c>
      <c r="I168" s="1" t="s">
        <v>88</v>
      </c>
      <c r="J168" s="5">
        <v>8.2870370370370372E-3</v>
      </c>
      <c r="K168" s="5">
        <v>1.4583333333333332E-2</v>
      </c>
      <c r="L168" s="1" t="s">
        <v>82</v>
      </c>
      <c r="M168" s="1">
        <v>55334</v>
      </c>
      <c r="N168" s="1">
        <v>83324302</v>
      </c>
      <c r="O168" s="1">
        <v>1</v>
      </c>
      <c r="P168" s="3" t="e">
        <f>VLOOKUP(Tabla3[[#This Row],[Entrega]],#REF!,4)</f>
        <v>#REF!</v>
      </c>
      <c r="Q168" s="2" t="e">
        <f>VLOOKUP(Tabla3[[#This Row],[Entrega]],#REF!,5)</f>
        <v>#REF!</v>
      </c>
      <c r="R168" s="2" t="e">
        <f>VLOOKUP(Tabla3[[#This Row],[Entrega]],#REF!,7)</f>
        <v>#REF!</v>
      </c>
      <c r="S168" s="2" t="e">
        <f>VLOOKUP(Tabla3[[#This Row],[Entrega]],#REF!,19)</f>
        <v>#REF!</v>
      </c>
      <c r="T168" s="3" t="e">
        <f>VLOOKUP(Tabla3[[#This Row],[Entrega]],#REF!,20)</f>
        <v>#REF!</v>
      </c>
    </row>
    <row r="169" spans="1:20" x14ac:dyDescent="0.2">
      <c r="A169" s="1">
        <v>194450</v>
      </c>
      <c r="B169" s="4">
        <v>44832</v>
      </c>
      <c r="C169" s="1" t="s">
        <v>87</v>
      </c>
      <c r="D169" s="5">
        <v>0.47629629629629627</v>
      </c>
      <c r="E169" s="5">
        <v>0.48255787037037035</v>
      </c>
      <c r="F169" s="5">
        <v>0.50628472222222221</v>
      </c>
      <c r="G169" s="1">
        <v>800000891</v>
      </c>
      <c r="H169" s="1" t="s">
        <v>44</v>
      </c>
      <c r="I169" s="1" t="s">
        <v>67</v>
      </c>
      <c r="J169" s="5">
        <v>6.2615740740740748E-3</v>
      </c>
      <c r="K169" s="5">
        <v>2.372685185185185E-2</v>
      </c>
      <c r="L169" s="1" t="s">
        <v>98</v>
      </c>
      <c r="M169" s="1">
        <v>55332</v>
      </c>
      <c r="N169" s="1">
        <v>83324286</v>
      </c>
      <c r="O169" s="1">
        <v>1</v>
      </c>
      <c r="P169" s="3" t="e">
        <f>VLOOKUP(Tabla3[[#This Row],[Entrega]],#REF!,4)</f>
        <v>#REF!</v>
      </c>
      <c r="Q169" s="2" t="e">
        <f>VLOOKUP(Tabla3[[#This Row],[Entrega]],#REF!,5)</f>
        <v>#REF!</v>
      </c>
      <c r="R169" s="2" t="e">
        <f>VLOOKUP(Tabla3[[#This Row],[Entrega]],#REF!,7)</f>
        <v>#REF!</v>
      </c>
      <c r="S169" s="2" t="e">
        <f>VLOOKUP(Tabla3[[#This Row],[Entrega]],#REF!,19)</f>
        <v>#REF!</v>
      </c>
      <c r="T169" s="3" t="e">
        <f>VLOOKUP(Tabla3[[#This Row],[Entrega]],#REF!,20)</f>
        <v>#REF!</v>
      </c>
    </row>
    <row r="170" spans="1:20" x14ac:dyDescent="0.2">
      <c r="A170" s="1">
        <v>194443</v>
      </c>
      <c r="B170" s="4">
        <v>44832</v>
      </c>
      <c r="C170" s="1" t="s">
        <v>91</v>
      </c>
      <c r="D170" s="5">
        <v>0.36730324074074078</v>
      </c>
      <c r="E170" s="5">
        <v>0.43427083333333333</v>
      </c>
      <c r="F170" s="5">
        <v>0.4409953703703704</v>
      </c>
      <c r="G170" s="1">
        <v>650000005</v>
      </c>
      <c r="H170" s="1" t="s">
        <v>44</v>
      </c>
      <c r="I170" s="1" t="s">
        <v>225</v>
      </c>
      <c r="J170" s="5">
        <v>6.6967592592592592E-2</v>
      </c>
      <c r="K170" s="5">
        <v>6.7245370370370367E-3</v>
      </c>
      <c r="L170" s="1" t="s">
        <v>121</v>
      </c>
      <c r="M170" s="1">
        <v>55328</v>
      </c>
      <c r="N170" s="1">
        <v>83324266</v>
      </c>
      <c r="O170" s="1">
        <v>1</v>
      </c>
      <c r="P170" s="3" t="e">
        <f>VLOOKUP(Tabla3[[#This Row],[Entrega]],#REF!,4)</f>
        <v>#REF!</v>
      </c>
      <c r="Q170" s="2" t="e">
        <f>VLOOKUP(Tabla3[[#This Row],[Entrega]],#REF!,5)</f>
        <v>#REF!</v>
      </c>
      <c r="R170" s="2" t="e">
        <f>VLOOKUP(Tabla3[[#This Row],[Entrega]],#REF!,7)</f>
        <v>#REF!</v>
      </c>
      <c r="S170" s="2" t="e">
        <f>VLOOKUP(Tabla3[[#This Row],[Entrega]],#REF!,19)</f>
        <v>#REF!</v>
      </c>
      <c r="T170" s="3" t="e">
        <f>VLOOKUP(Tabla3[[#This Row],[Entrega]],#REF!,20)</f>
        <v>#REF!</v>
      </c>
    </row>
    <row r="171" spans="1:20" x14ac:dyDescent="0.2">
      <c r="A171" s="1">
        <v>194448</v>
      </c>
      <c r="B171" s="4">
        <v>44832</v>
      </c>
      <c r="C171" s="1" t="s">
        <v>87</v>
      </c>
      <c r="D171" s="5">
        <v>0.4455439814814815</v>
      </c>
      <c r="E171" s="5">
        <v>0.4522916666666667</v>
      </c>
      <c r="F171" s="5">
        <v>0.46501157407407406</v>
      </c>
      <c r="G171" s="1">
        <v>800000891</v>
      </c>
      <c r="H171" s="1" t="s">
        <v>44</v>
      </c>
      <c r="I171" s="1" t="s">
        <v>46</v>
      </c>
      <c r="J171" s="5">
        <v>6.7476851851851856E-3</v>
      </c>
      <c r="K171" s="5">
        <v>1.2719907407407407E-2</v>
      </c>
      <c r="L171" s="1" t="s">
        <v>76</v>
      </c>
      <c r="M171" s="1">
        <v>55330</v>
      </c>
      <c r="N171" s="1">
        <v>83324275</v>
      </c>
      <c r="O171" s="1">
        <v>1</v>
      </c>
      <c r="P171" s="3" t="e">
        <f>VLOOKUP(Tabla3[[#This Row],[Entrega]],#REF!,4)</f>
        <v>#REF!</v>
      </c>
      <c r="Q171" s="2" t="e">
        <f>VLOOKUP(Tabla3[[#This Row],[Entrega]],#REF!,5)</f>
        <v>#REF!</v>
      </c>
      <c r="R171" s="2" t="e">
        <f>VLOOKUP(Tabla3[[#This Row],[Entrega]],#REF!,7)</f>
        <v>#REF!</v>
      </c>
      <c r="S171" s="2" t="e">
        <f>VLOOKUP(Tabla3[[#This Row],[Entrega]],#REF!,19)</f>
        <v>#REF!</v>
      </c>
      <c r="T171" s="3" t="e">
        <f>VLOOKUP(Tabla3[[#This Row],[Entrega]],#REF!,20)</f>
        <v>#REF!</v>
      </c>
    </row>
    <row r="172" spans="1:20" x14ac:dyDescent="0.2">
      <c r="A172" s="1">
        <v>194447</v>
      </c>
      <c r="B172" s="4">
        <v>44832</v>
      </c>
      <c r="C172" s="1" t="s">
        <v>87</v>
      </c>
      <c r="D172" s="5">
        <v>0.42976851851851849</v>
      </c>
      <c r="E172" s="5">
        <v>0.44862268518518517</v>
      </c>
      <c r="F172" s="5">
        <v>0.45315972222222217</v>
      </c>
      <c r="G172" s="1">
        <v>800000891</v>
      </c>
      <c r="H172" s="1" t="s">
        <v>44</v>
      </c>
      <c r="I172" s="1" t="s">
        <v>88</v>
      </c>
      <c r="J172" s="5">
        <v>1.8854166666666665E-2</v>
      </c>
      <c r="K172" s="5">
        <v>4.5370370370370365E-3</v>
      </c>
      <c r="L172" s="1" t="s">
        <v>82</v>
      </c>
      <c r="M172" s="1">
        <v>55329</v>
      </c>
      <c r="N172" s="1">
        <v>83324267</v>
      </c>
      <c r="O172" s="1">
        <v>1</v>
      </c>
      <c r="P172" s="3" t="e">
        <f>VLOOKUP(Tabla3[[#This Row],[Entrega]],#REF!,4)</f>
        <v>#REF!</v>
      </c>
      <c r="Q172" s="2" t="e">
        <f>VLOOKUP(Tabla3[[#This Row],[Entrega]],#REF!,5)</f>
        <v>#REF!</v>
      </c>
      <c r="R172" s="2" t="e">
        <f>VLOOKUP(Tabla3[[#This Row],[Entrega]],#REF!,7)</f>
        <v>#REF!</v>
      </c>
      <c r="S172" s="2" t="e">
        <f>VLOOKUP(Tabla3[[#This Row],[Entrega]],#REF!,19)</f>
        <v>#REF!</v>
      </c>
      <c r="T172" s="3" t="e">
        <f>VLOOKUP(Tabla3[[#This Row],[Entrega]],#REF!,20)</f>
        <v>#REF!</v>
      </c>
    </row>
    <row r="173" spans="1:20" x14ac:dyDescent="0.2">
      <c r="A173" s="1">
        <v>194446</v>
      </c>
      <c r="B173" s="4">
        <v>44832</v>
      </c>
      <c r="C173" s="1" t="s">
        <v>87</v>
      </c>
      <c r="D173" s="5">
        <v>0.42553240740740739</v>
      </c>
      <c r="E173" s="5">
        <v>0.42656250000000001</v>
      </c>
      <c r="F173" s="5">
        <v>0.44498842592592597</v>
      </c>
      <c r="G173" s="1">
        <v>800000891</v>
      </c>
      <c r="H173" s="1" t="s">
        <v>44</v>
      </c>
      <c r="I173" s="1" t="s">
        <v>45</v>
      </c>
      <c r="J173" s="5">
        <v>1.0300925925925926E-3</v>
      </c>
      <c r="K173" s="5">
        <v>1.8425925925925925E-2</v>
      </c>
      <c r="L173" s="1" t="s">
        <v>160</v>
      </c>
      <c r="M173" s="1">
        <v>55327</v>
      </c>
      <c r="N173" s="1">
        <v>83324262</v>
      </c>
      <c r="O173" s="1">
        <v>1</v>
      </c>
      <c r="P173" s="3" t="e">
        <f>VLOOKUP(Tabla3[[#This Row],[Entrega]],#REF!,4)</f>
        <v>#REF!</v>
      </c>
      <c r="Q173" s="2" t="e">
        <f>VLOOKUP(Tabla3[[#This Row],[Entrega]],#REF!,5)</f>
        <v>#REF!</v>
      </c>
      <c r="R173" s="2" t="e">
        <f>VLOOKUP(Tabla3[[#This Row],[Entrega]],#REF!,7)</f>
        <v>#REF!</v>
      </c>
      <c r="S173" s="2" t="e">
        <f>VLOOKUP(Tabla3[[#This Row],[Entrega]],#REF!,19)</f>
        <v>#REF!</v>
      </c>
      <c r="T173" s="3" t="e">
        <f>VLOOKUP(Tabla3[[#This Row],[Entrega]],#REF!,20)</f>
        <v>#REF!</v>
      </c>
    </row>
    <row r="174" spans="1:20" x14ac:dyDescent="0.2">
      <c r="A174" s="1">
        <v>195133</v>
      </c>
      <c r="B174" s="4">
        <v>44835</v>
      </c>
      <c r="C174" s="1" t="s">
        <v>87</v>
      </c>
      <c r="D174" s="5">
        <v>0.56292824074074077</v>
      </c>
      <c r="E174" s="5">
        <v>0.56953703703703706</v>
      </c>
      <c r="F174" s="5">
        <v>0.60160879629629627</v>
      </c>
      <c r="G174" s="1">
        <v>800000891</v>
      </c>
      <c r="H174" s="1" t="s">
        <v>44</v>
      </c>
      <c r="I174" s="1" t="s">
        <v>80</v>
      </c>
      <c r="J174" s="5">
        <v>6.6087962962962966E-3</v>
      </c>
      <c r="K174" s="5">
        <v>3.2071759259259258E-2</v>
      </c>
      <c r="L174" s="1" t="s">
        <v>98</v>
      </c>
      <c r="M174" s="1">
        <v>55402</v>
      </c>
      <c r="N174" s="1">
        <v>83324924</v>
      </c>
      <c r="O174" s="1">
        <v>1</v>
      </c>
      <c r="P174" s="3" t="e">
        <f>VLOOKUP(Tabla3[[#This Row],[Entrega]],#REF!,4)</f>
        <v>#REF!</v>
      </c>
      <c r="Q174" s="2" t="e">
        <f>VLOOKUP(Tabla3[[#This Row],[Entrega]],#REF!,5)</f>
        <v>#REF!</v>
      </c>
      <c r="R174" s="2" t="e">
        <f>VLOOKUP(Tabla3[[#This Row],[Entrega]],#REF!,7)</f>
        <v>#REF!</v>
      </c>
      <c r="S174" s="2" t="e">
        <f>VLOOKUP(Tabla3[[#This Row],[Entrega]],#REF!,19)</f>
        <v>#REF!</v>
      </c>
      <c r="T174" s="3" t="e">
        <f>VLOOKUP(Tabla3[[#This Row],[Entrega]],#REF!,20)</f>
        <v>#REF!</v>
      </c>
    </row>
    <row r="175" spans="1:20" x14ac:dyDescent="0.2">
      <c r="A175" s="1">
        <v>195102</v>
      </c>
      <c r="B175" s="4">
        <v>44835</v>
      </c>
      <c r="C175" s="1" t="s">
        <v>87</v>
      </c>
      <c r="D175" s="5">
        <v>0.48581018518518521</v>
      </c>
      <c r="E175" s="5">
        <v>0.48789351851851853</v>
      </c>
      <c r="F175" s="5">
        <v>0.51163194444444449</v>
      </c>
      <c r="G175" s="1">
        <v>800000891</v>
      </c>
      <c r="H175" s="1" t="s">
        <v>44</v>
      </c>
      <c r="I175" s="1" t="s">
        <v>80</v>
      </c>
      <c r="J175" s="5">
        <v>2.0833333333333333E-3</v>
      </c>
      <c r="K175" s="5">
        <v>2.3738425925925923E-2</v>
      </c>
      <c r="L175" s="1" t="s">
        <v>98</v>
      </c>
      <c r="M175" s="1">
        <v>55398</v>
      </c>
      <c r="N175" s="1">
        <v>83324907</v>
      </c>
      <c r="O175" s="1">
        <v>1</v>
      </c>
      <c r="P175" s="3" t="e">
        <f>VLOOKUP(Tabla3[[#This Row],[Entrega]],#REF!,4)</f>
        <v>#REF!</v>
      </c>
      <c r="Q175" s="2" t="e">
        <f>VLOOKUP(Tabla3[[#This Row],[Entrega]],#REF!,5)</f>
        <v>#REF!</v>
      </c>
      <c r="R175" s="2" t="e">
        <f>VLOOKUP(Tabla3[[#This Row],[Entrega]],#REF!,7)</f>
        <v>#REF!</v>
      </c>
      <c r="S175" s="2" t="e">
        <f>VLOOKUP(Tabla3[[#This Row],[Entrega]],#REF!,19)</f>
        <v>#REF!</v>
      </c>
      <c r="T175" s="3" t="e">
        <f>VLOOKUP(Tabla3[[#This Row],[Entrega]],#REF!,20)</f>
        <v>#REF!</v>
      </c>
    </row>
    <row r="176" spans="1:20" x14ac:dyDescent="0.2">
      <c r="A176" s="1">
        <v>194442</v>
      </c>
      <c r="B176" s="4">
        <v>44832</v>
      </c>
      <c r="C176" s="1" t="s">
        <v>87</v>
      </c>
      <c r="D176" s="5">
        <v>0.40252314814814816</v>
      </c>
      <c r="E176" s="5">
        <v>0.41569444444444442</v>
      </c>
      <c r="F176" s="5">
        <v>0.42715277777777777</v>
      </c>
      <c r="G176" s="1">
        <v>800000891</v>
      </c>
      <c r="H176" s="1" t="s">
        <v>44</v>
      </c>
      <c r="I176" s="1" t="s">
        <v>67</v>
      </c>
      <c r="J176" s="5">
        <v>1.3171296296296294E-2</v>
      </c>
      <c r="K176" s="5">
        <v>1.1458333333333334E-2</v>
      </c>
      <c r="L176" s="1" t="s">
        <v>98</v>
      </c>
      <c r="M176" s="1">
        <v>55325</v>
      </c>
      <c r="N176" s="1">
        <v>83324253</v>
      </c>
      <c r="O176" s="1">
        <v>1</v>
      </c>
      <c r="P176" s="3" t="e">
        <f>VLOOKUP(Tabla3[[#This Row],[Entrega]],#REF!,4)</f>
        <v>#REF!</v>
      </c>
      <c r="Q176" s="2" t="e">
        <f>VLOOKUP(Tabla3[[#This Row],[Entrega]],#REF!,5)</f>
        <v>#REF!</v>
      </c>
      <c r="R176" s="2" t="e">
        <f>VLOOKUP(Tabla3[[#This Row],[Entrega]],#REF!,7)</f>
        <v>#REF!</v>
      </c>
      <c r="S176" s="2" t="e">
        <f>VLOOKUP(Tabla3[[#This Row],[Entrega]],#REF!,19)</f>
        <v>#REF!</v>
      </c>
      <c r="T176" s="3" t="e">
        <f>VLOOKUP(Tabla3[[#This Row],[Entrega]],#REF!,20)</f>
        <v>#REF!</v>
      </c>
    </row>
    <row r="177" spans="1:20" x14ac:dyDescent="0.2">
      <c r="A177" s="1">
        <v>195098</v>
      </c>
      <c r="B177" s="4">
        <v>44835</v>
      </c>
      <c r="C177" s="1" t="s">
        <v>87</v>
      </c>
      <c r="D177" s="5">
        <v>0.3949537037037037</v>
      </c>
      <c r="E177" s="5">
        <v>0.40666666666666668</v>
      </c>
      <c r="F177" s="5">
        <v>0.43334490740740739</v>
      </c>
      <c r="G177" s="1">
        <v>800000891</v>
      </c>
      <c r="H177" s="1" t="s">
        <v>44</v>
      </c>
      <c r="I177" s="1" t="s">
        <v>80</v>
      </c>
      <c r="J177" s="5">
        <v>1.1712962962962965E-2</v>
      </c>
      <c r="K177" s="5">
        <v>2.6678240740740738E-2</v>
      </c>
      <c r="L177" s="1" t="s">
        <v>98</v>
      </c>
      <c r="M177" s="1">
        <v>55391</v>
      </c>
      <c r="N177" s="1">
        <v>83324886</v>
      </c>
      <c r="O177" s="1">
        <v>1</v>
      </c>
      <c r="P177" s="3" t="e">
        <f>VLOOKUP(Tabla3[[#This Row],[Entrega]],#REF!,4)</f>
        <v>#REF!</v>
      </c>
      <c r="Q177" s="2" t="e">
        <f>VLOOKUP(Tabla3[[#This Row],[Entrega]],#REF!,5)</f>
        <v>#REF!</v>
      </c>
      <c r="R177" s="2" t="e">
        <f>VLOOKUP(Tabla3[[#This Row],[Entrega]],#REF!,7)</f>
        <v>#REF!</v>
      </c>
      <c r="S177" s="2" t="e">
        <f>VLOOKUP(Tabla3[[#This Row],[Entrega]],#REF!,19)</f>
        <v>#REF!</v>
      </c>
      <c r="T177" s="3" t="e">
        <f>VLOOKUP(Tabla3[[#This Row],[Entrega]],#REF!,20)</f>
        <v>#REF!</v>
      </c>
    </row>
    <row r="178" spans="1:20" x14ac:dyDescent="0.2">
      <c r="A178" s="1">
        <v>194440</v>
      </c>
      <c r="B178" s="4">
        <v>44832</v>
      </c>
      <c r="C178" s="1" t="s">
        <v>87</v>
      </c>
      <c r="D178" s="5">
        <v>0.31115740740740744</v>
      </c>
      <c r="E178" s="5">
        <v>0.35327546296296292</v>
      </c>
      <c r="F178" s="5">
        <v>0.36804398148148149</v>
      </c>
      <c r="G178" s="1">
        <v>800000891</v>
      </c>
      <c r="H178" s="1" t="s">
        <v>44</v>
      </c>
      <c r="I178" s="1" t="s">
        <v>46</v>
      </c>
      <c r="J178" s="5">
        <v>4.2118055555555554E-2</v>
      </c>
      <c r="K178" s="5">
        <v>1.4768518518518519E-2</v>
      </c>
      <c r="L178" s="1" t="s">
        <v>76</v>
      </c>
      <c r="M178" s="1">
        <v>55323</v>
      </c>
      <c r="N178" s="1">
        <v>83324240</v>
      </c>
      <c r="O178" s="1">
        <v>1</v>
      </c>
      <c r="P178" s="3" t="e">
        <f>VLOOKUP(Tabla3[[#This Row],[Entrega]],#REF!,4)</f>
        <v>#REF!</v>
      </c>
      <c r="Q178" s="2" t="e">
        <f>VLOOKUP(Tabla3[[#This Row],[Entrega]],#REF!,5)</f>
        <v>#REF!</v>
      </c>
      <c r="R178" s="2" t="e">
        <f>VLOOKUP(Tabla3[[#This Row],[Entrega]],#REF!,7)</f>
        <v>#REF!</v>
      </c>
      <c r="S178" s="2" t="e">
        <f>VLOOKUP(Tabla3[[#This Row],[Entrega]],#REF!,19)</f>
        <v>#REF!</v>
      </c>
      <c r="T178" s="3" t="e">
        <f>VLOOKUP(Tabla3[[#This Row],[Entrega]],#REF!,20)</f>
        <v>#REF!</v>
      </c>
    </row>
    <row r="179" spans="1:20" x14ac:dyDescent="0.2">
      <c r="A179" s="1">
        <v>194439</v>
      </c>
      <c r="B179" s="4">
        <v>44832</v>
      </c>
      <c r="C179" s="1" t="s">
        <v>87</v>
      </c>
      <c r="D179" s="5">
        <v>0.30725694444444446</v>
      </c>
      <c r="E179" s="5">
        <v>0.33568287037037042</v>
      </c>
      <c r="F179" s="5">
        <v>0.35493055555555553</v>
      </c>
      <c r="G179" s="1">
        <v>800000891</v>
      </c>
      <c r="H179" s="1" t="s">
        <v>44</v>
      </c>
      <c r="I179" s="1" t="s">
        <v>88</v>
      </c>
      <c r="J179" s="5">
        <v>2.8425925925925924E-2</v>
      </c>
      <c r="K179" s="5">
        <v>1.9247685185185184E-2</v>
      </c>
      <c r="L179" s="1" t="s">
        <v>82</v>
      </c>
      <c r="M179" s="1">
        <v>55322</v>
      </c>
      <c r="N179" s="1">
        <v>83324235</v>
      </c>
      <c r="O179" s="1">
        <v>1</v>
      </c>
      <c r="P179" s="3" t="e">
        <f>VLOOKUP(Tabla3[[#This Row],[Entrega]],#REF!,4)</f>
        <v>#REF!</v>
      </c>
      <c r="Q179" s="2" t="e">
        <f>VLOOKUP(Tabla3[[#This Row],[Entrega]],#REF!,5)</f>
        <v>#REF!</v>
      </c>
      <c r="R179" s="2" t="e">
        <f>VLOOKUP(Tabla3[[#This Row],[Entrega]],#REF!,7)</f>
        <v>#REF!</v>
      </c>
      <c r="S179" s="2" t="e">
        <f>VLOOKUP(Tabla3[[#This Row],[Entrega]],#REF!,19)</f>
        <v>#REF!</v>
      </c>
      <c r="T179" s="3" t="e">
        <f>VLOOKUP(Tabla3[[#This Row],[Entrega]],#REF!,20)</f>
        <v>#REF!</v>
      </c>
    </row>
    <row r="180" spans="1:20" x14ac:dyDescent="0.2">
      <c r="A180" s="1">
        <v>194438</v>
      </c>
      <c r="B180" s="4">
        <v>44832</v>
      </c>
      <c r="C180" s="1" t="s">
        <v>87</v>
      </c>
      <c r="D180" s="5">
        <v>0.30707175925925928</v>
      </c>
      <c r="E180" s="5">
        <v>0.33302083333333332</v>
      </c>
      <c r="F180" s="5">
        <v>0.35306712962962966</v>
      </c>
      <c r="G180" s="1">
        <v>800000891</v>
      </c>
      <c r="H180" s="1" t="s">
        <v>44</v>
      </c>
      <c r="I180" s="1" t="s">
        <v>45</v>
      </c>
      <c r="J180" s="5">
        <v>2.5949074074074072E-2</v>
      </c>
      <c r="K180" s="5">
        <v>2.0046296296296295E-2</v>
      </c>
      <c r="L180" s="1" t="s">
        <v>160</v>
      </c>
      <c r="M180" s="1">
        <v>55321</v>
      </c>
      <c r="N180" s="1">
        <v>83324234</v>
      </c>
      <c r="O180" s="1">
        <v>1</v>
      </c>
      <c r="P180" s="3" t="e">
        <f>VLOOKUP(Tabla3[[#This Row],[Entrega]],#REF!,4)</f>
        <v>#REF!</v>
      </c>
      <c r="Q180" s="2" t="e">
        <f>VLOOKUP(Tabla3[[#This Row],[Entrega]],#REF!,5)</f>
        <v>#REF!</v>
      </c>
      <c r="R180" s="2" t="e">
        <f>VLOOKUP(Tabla3[[#This Row],[Entrega]],#REF!,7)</f>
        <v>#REF!</v>
      </c>
      <c r="S180" s="2" t="e">
        <f>VLOOKUP(Tabla3[[#This Row],[Entrega]],#REF!,19)</f>
        <v>#REF!</v>
      </c>
      <c r="T180" s="3" t="e">
        <f>VLOOKUP(Tabla3[[#This Row],[Entrega]],#REF!,20)</f>
        <v>#REF!</v>
      </c>
    </row>
    <row r="181" spans="1:20" x14ac:dyDescent="0.2">
      <c r="A181" s="1">
        <v>194437</v>
      </c>
      <c r="B181" s="4">
        <v>44832</v>
      </c>
      <c r="C181" s="1" t="s">
        <v>18</v>
      </c>
      <c r="D181" s="5">
        <v>0.14480324074074075</v>
      </c>
      <c r="E181" s="5">
        <v>0.15506944444444445</v>
      </c>
      <c r="F181" s="5">
        <v>0.29936342592592591</v>
      </c>
      <c r="G181" s="1">
        <v>800000001</v>
      </c>
      <c r="H181" s="1" t="s">
        <v>21</v>
      </c>
      <c r="I181" s="1" t="s">
        <v>80</v>
      </c>
      <c r="J181" s="5">
        <v>1.0266203703703703E-2</v>
      </c>
      <c r="K181" s="5">
        <v>0.14429398148148148</v>
      </c>
      <c r="L181" s="1" t="s">
        <v>52</v>
      </c>
      <c r="M181" s="1">
        <v>127396</v>
      </c>
      <c r="N181" s="1">
        <v>200249304</v>
      </c>
      <c r="O181" s="1">
        <v>1</v>
      </c>
      <c r="P181" s="3" t="e">
        <f>VLOOKUP(Tabla3[[#This Row],[Entrega]],#REF!,4)</f>
        <v>#REF!</v>
      </c>
      <c r="Q181" s="2" t="e">
        <f>VLOOKUP(Tabla3[[#This Row],[Entrega]],#REF!,5)</f>
        <v>#REF!</v>
      </c>
      <c r="R181" s="2" t="e">
        <f>VLOOKUP(Tabla3[[#This Row],[Entrega]],#REF!,7)</f>
        <v>#REF!</v>
      </c>
      <c r="S181" s="2" t="e">
        <f>VLOOKUP(Tabla3[[#This Row],[Entrega]],#REF!,19)</f>
        <v>#REF!</v>
      </c>
      <c r="T181" s="3" t="e">
        <f>VLOOKUP(Tabla3[[#This Row],[Entrega]],#REF!,20)</f>
        <v>#REF!</v>
      </c>
    </row>
    <row r="182" spans="1:20" x14ac:dyDescent="0.2">
      <c r="A182" s="1">
        <v>194411</v>
      </c>
      <c r="B182" s="4">
        <v>44832</v>
      </c>
      <c r="C182" s="1" t="s">
        <v>18</v>
      </c>
      <c r="D182" s="5">
        <v>0.11170138888888888</v>
      </c>
      <c r="E182" s="5">
        <v>0.13027777777777777</v>
      </c>
      <c r="F182" s="5">
        <v>0.15753472222222223</v>
      </c>
      <c r="G182" s="1">
        <v>800000001</v>
      </c>
      <c r="H182" s="1" t="s">
        <v>21</v>
      </c>
      <c r="I182" s="1" t="s">
        <v>81</v>
      </c>
      <c r="J182" s="5">
        <v>1.8576388888888889E-2</v>
      </c>
      <c r="K182" s="5">
        <v>2.7256944444444445E-2</v>
      </c>
      <c r="L182" s="1" t="s">
        <v>83</v>
      </c>
      <c r="M182" s="1">
        <v>127395</v>
      </c>
      <c r="N182" s="1">
        <v>200249303</v>
      </c>
      <c r="O182" s="1">
        <v>1</v>
      </c>
      <c r="P182" s="3" t="e">
        <f>VLOOKUP(Tabla3[[#This Row],[Entrega]],#REF!,4)</f>
        <v>#REF!</v>
      </c>
      <c r="Q182" s="2" t="e">
        <f>VLOOKUP(Tabla3[[#This Row],[Entrega]],#REF!,5)</f>
        <v>#REF!</v>
      </c>
      <c r="R182" s="2" t="e">
        <f>VLOOKUP(Tabla3[[#This Row],[Entrega]],#REF!,7)</f>
        <v>#REF!</v>
      </c>
      <c r="S182" s="2" t="e">
        <f>VLOOKUP(Tabla3[[#This Row],[Entrega]],#REF!,19)</f>
        <v>#REF!</v>
      </c>
      <c r="T182" s="3" t="e">
        <f>VLOOKUP(Tabla3[[#This Row],[Entrega]],#REF!,20)</f>
        <v>#REF!</v>
      </c>
    </row>
    <row r="183" spans="1:20" x14ac:dyDescent="0.2">
      <c r="A183" s="1">
        <v>194410</v>
      </c>
      <c r="B183" s="4">
        <v>44832</v>
      </c>
      <c r="C183" s="1" t="s">
        <v>18</v>
      </c>
      <c r="D183" s="5">
        <v>0.11144675925925925</v>
      </c>
      <c r="E183" s="5">
        <v>0.13021990740740741</v>
      </c>
      <c r="F183" s="5">
        <v>0.14521990740740739</v>
      </c>
      <c r="G183" s="1">
        <v>800000001</v>
      </c>
      <c r="H183" s="1" t="s">
        <v>21</v>
      </c>
      <c r="I183" s="1" t="s">
        <v>41</v>
      </c>
      <c r="J183" s="5">
        <v>1.877314814814815E-2</v>
      </c>
      <c r="K183" s="5">
        <v>1.5000000000000001E-2</v>
      </c>
      <c r="L183" s="1" t="s">
        <v>73</v>
      </c>
      <c r="M183" s="1">
        <v>127394</v>
      </c>
      <c r="N183" s="1">
        <v>200249302</v>
      </c>
      <c r="O183" s="1">
        <v>1</v>
      </c>
      <c r="P183" s="3" t="e">
        <f>VLOOKUP(Tabla3[[#This Row],[Entrega]],#REF!,4)</f>
        <v>#REF!</v>
      </c>
      <c r="Q183" s="2" t="e">
        <f>VLOOKUP(Tabla3[[#This Row],[Entrega]],#REF!,5)</f>
        <v>#REF!</v>
      </c>
      <c r="R183" s="2" t="e">
        <f>VLOOKUP(Tabla3[[#This Row],[Entrega]],#REF!,7)</f>
        <v>#REF!</v>
      </c>
      <c r="S183" s="2" t="e">
        <f>VLOOKUP(Tabla3[[#This Row],[Entrega]],#REF!,19)</f>
        <v>#REF!</v>
      </c>
      <c r="T183" s="3" t="e">
        <f>VLOOKUP(Tabla3[[#This Row],[Entrega]],#REF!,20)</f>
        <v>#REF!</v>
      </c>
    </row>
    <row r="184" spans="1:20" x14ac:dyDescent="0.2">
      <c r="A184" s="1">
        <v>194409</v>
      </c>
      <c r="B184" s="4">
        <v>44832</v>
      </c>
      <c r="C184" s="1" t="s">
        <v>18</v>
      </c>
      <c r="D184" s="5">
        <v>3.1631944444444442E-2</v>
      </c>
      <c r="E184" s="5">
        <v>5.5393518518518516E-2</v>
      </c>
      <c r="F184" s="5">
        <v>0.10770833333333334</v>
      </c>
      <c r="G184" s="1">
        <v>800000000</v>
      </c>
      <c r="H184" s="1" t="s">
        <v>20</v>
      </c>
      <c r="I184" s="1" t="s">
        <v>62</v>
      </c>
      <c r="J184" s="5">
        <v>2.3761574074074074E-2</v>
      </c>
      <c r="K184" s="5">
        <v>5.2314814814814814E-2</v>
      </c>
      <c r="L184" s="1" t="s">
        <v>63</v>
      </c>
      <c r="M184" s="1">
        <v>127393</v>
      </c>
      <c r="N184" s="1">
        <v>200249300</v>
      </c>
      <c r="O184" s="1">
        <v>1</v>
      </c>
      <c r="P184" s="3" t="e">
        <f>VLOOKUP(Tabla3[[#This Row],[Entrega]],#REF!,4)</f>
        <v>#REF!</v>
      </c>
      <c r="Q184" s="2" t="e">
        <f>VLOOKUP(Tabla3[[#This Row],[Entrega]],#REF!,5)</f>
        <v>#REF!</v>
      </c>
      <c r="R184" s="2" t="e">
        <f>VLOOKUP(Tabla3[[#This Row],[Entrega]],#REF!,7)</f>
        <v>#REF!</v>
      </c>
      <c r="S184" s="2" t="e">
        <f>VLOOKUP(Tabla3[[#This Row],[Entrega]],#REF!,19)</f>
        <v>#REF!</v>
      </c>
      <c r="T184" s="3" t="e">
        <f>VLOOKUP(Tabla3[[#This Row],[Entrega]],#REF!,20)</f>
        <v>#REF!</v>
      </c>
    </row>
    <row r="185" spans="1:20" x14ac:dyDescent="0.2">
      <c r="A185" s="1">
        <v>194408</v>
      </c>
      <c r="B185" s="4">
        <v>44832</v>
      </c>
      <c r="C185" s="1" t="s">
        <v>18</v>
      </c>
      <c r="D185" s="5">
        <v>3.6909722222222226E-2</v>
      </c>
      <c r="E185" s="5">
        <v>9.5856481481481473E-2</v>
      </c>
      <c r="F185" s="5">
        <v>0.10118055555555555</v>
      </c>
      <c r="G185" s="1">
        <v>800000305</v>
      </c>
      <c r="H185" s="1" t="s">
        <v>22</v>
      </c>
      <c r="I185" s="1" t="s">
        <v>84</v>
      </c>
      <c r="J185" s="5">
        <v>5.8946759259259261E-2</v>
      </c>
      <c r="K185" s="5">
        <v>5.3240740740740748E-3</v>
      </c>
      <c r="L185" s="1" t="s">
        <v>176</v>
      </c>
      <c r="M185" s="1">
        <v>127392</v>
      </c>
      <c r="N185" s="1">
        <v>200249301</v>
      </c>
      <c r="O185" s="1">
        <v>1</v>
      </c>
      <c r="P185" s="3" t="e">
        <f>VLOOKUP(Tabla3[[#This Row],[Entrega]],#REF!,4)</f>
        <v>#REF!</v>
      </c>
      <c r="Q185" s="2" t="e">
        <f>VLOOKUP(Tabla3[[#This Row],[Entrega]],#REF!,5)</f>
        <v>#REF!</v>
      </c>
      <c r="R185" s="2" t="e">
        <f>VLOOKUP(Tabla3[[#This Row],[Entrega]],#REF!,7)</f>
        <v>#REF!</v>
      </c>
      <c r="S185" s="2" t="e">
        <f>VLOOKUP(Tabla3[[#This Row],[Entrega]],#REF!,19)</f>
        <v>#REF!</v>
      </c>
      <c r="T185" s="3" t="e">
        <f>VLOOKUP(Tabla3[[#This Row],[Entrega]],#REF!,20)</f>
        <v>#REF!</v>
      </c>
    </row>
    <row r="186" spans="1:20" x14ac:dyDescent="0.2">
      <c r="A186" s="1">
        <v>194407</v>
      </c>
      <c r="B186" s="4">
        <v>44832</v>
      </c>
      <c r="C186" s="1" t="s">
        <v>18</v>
      </c>
      <c r="D186" s="5">
        <v>0.97881944444444446</v>
      </c>
      <c r="E186" s="5">
        <v>2.5046296296296299E-2</v>
      </c>
      <c r="F186" s="5">
        <v>8.0902777777777782E-2</v>
      </c>
      <c r="G186" s="1">
        <v>800000001</v>
      </c>
      <c r="H186" s="1" t="s">
        <v>21</v>
      </c>
      <c r="I186" s="1" t="s">
        <v>80</v>
      </c>
      <c r="J186" s="5">
        <v>4.6226851851851852E-2</v>
      </c>
      <c r="K186" s="5">
        <v>5.5856481481481479E-2</v>
      </c>
      <c r="L186" s="1" t="s">
        <v>52</v>
      </c>
      <c r="M186" s="1">
        <v>127391</v>
      </c>
      <c r="N186" s="1">
        <v>200249299</v>
      </c>
      <c r="O186" s="1">
        <v>1</v>
      </c>
      <c r="P186" s="3" t="e">
        <f>VLOOKUP(Tabla3[[#This Row],[Entrega]],#REF!,4)</f>
        <v>#REF!</v>
      </c>
      <c r="Q186" s="2" t="e">
        <f>VLOOKUP(Tabla3[[#This Row],[Entrega]],#REF!,5)</f>
        <v>#REF!</v>
      </c>
      <c r="R186" s="2" t="e">
        <f>VLOOKUP(Tabla3[[#This Row],[Entrega]],#REF!,7)</f>
        <v>#REF!</v>
      </c>
      <c r="S186" s="2" t="e">
        <f>VLOOKUP(Tabla3[[#This Row],[Entrega]],#REF!,19)</f>
        <v>#REF!</v>
      </c>
      <c r="T186" s="3" t="e">
        <f>VLOOKUP(Tabla3[[#This Row],[Entrega]],#REF!,20)</f>
        <v>#REF!</v>
      </c>
    </row>
    <row r="187" spans="1:20" x14ac:dyDescent="0.2">
      <c r="A187" s="1">
        <v>194406</v>
      </c>
      <c r="B187" s="4">
        <v>44832</v>
      </c>
      <c r="C187" s="1" t="s">
        <v>18</v>
      </c>
      <c r="D187" s="5">
        <v>1.9675925925925927E-2</v>
      </c>
      <c r="E187" s="5">
        <v>2.5104166666666664E-2</v>
      </c>
      <c r="F187" s="5">
        <v>7.5810185185185189E-2</v>
      </c>
      <c r="G187" s="1">
        <v>800000001</v>
      </c>
      <c r="H187" s="1" t="s">
        <v>21</v>
      </c>
      <c r="I187" s="1" t="s">
        <v>41</v>
      </c>
      <c r="J187" s="5">
        <v>5.4282407407407404E-3</v>
      </c>
      <c r="K187" s="5">
        <v>5.0706018518518518E-2</v>
      </c>
      <c r="L187" s="1" t="s">
        <v>73</v>
      </c>
      <c r="M187" s="1">
        <v>127390</v>
      </c>
      <c r="N187" s="1">
        <v>200249297</v>
      </c>
      <c r="O187" s="1">
        <v>1</v>
      </c>
      <c r="P187" s="3" t="e">
        <f>VLOOKUP(Tabla3[[#This Row],[Entrega]],#REF!,4)</f>
        <v>#REF!</v>
      </c>
      <c r="Q187" s="2" t="e">
        <f>VLOOKUP(Tabla3[[#This Row],[Entrega]],#REF!,5)</f>
        <v>#REF!</v>
      </c>
      <c r="R187" s="2" t="e">
        <f>VLOOKUP(Tabla3[[#This Row],[Entrega]],#REF!,7)</f>
        <v>#REF!</v>
      </c>
      <c r="S187" s="2" t="e">
        <f>VLOOKUP(Tabla3[[#This Row],[Entrega]],#REF!,19)</f>
        <v>#REF!</v>
      </c>
      <c r="T187" s="3" t="e">
        <f>VLOOKUP(Tabla3[[#This Row],[Entrega]],#REF!,20)</f>
        <v>#REF!</v>
      </c>
    </row>
    <row r="188" spans="1:20" x14ac:dyDescent="0.2">
      <c r="A188" s="1">
        <v>194405</v>
      </c>
      <c r="B188" s="4">
        <v>44832</v>
      </c>
      <c r="C188" s="1" t="s">
        <v>18</v>
      </c>
      <c r="D188" s="5">
        <v>0.94549768518518518</v>
      </c>
      <c r="E188" s="5">
        <v>0.97607638888888892</v>
      </c>
      <c r="F188" s="5">
        <v>3.4212962962962966E-2</v>
      </c>
      <c r="G188" s="1">
        <v>800000305</v>
      </c>
      <c r="H188" s="1" t="s">
        <v>22</v>
      </c>
      <c r="I188" s="1" t="s">
        <v>53</v>
      </c>
      <c r="J188" s="5">
        <v>3.0578703703703702E-2</v>
      </c>
      <c r="K188" s="5">
        <v>5.8136574074074077E-2</v>
      </c>
      <c r="L188" s="1" t="s">
        <v>107</v>
      </c>
      <c r="M188" s="1">
        <v>127389</v>
      </c>
      <c r="N188" s="1">
        <v>200249298</v>
      </c>
      <c r="O188" s="1">
        <v>1</v>
      </c>
      <c r="P188" s="3" t="e">
        <f>VLOOKUP(Tabla3[[#This Row],[Entrega]],#REF!,4)</f>
        <v>#REF!</v>
      </c>
      <c r="Q188" s="2" t="e">
        <f>VLOOKUP(Tabla3[[#This Row],[Entrega]],#REF!,5)</f>
        <v>#REF!</v>
      </c>
      <c r="R188" s="2" t="e">
        <f>VLOOKUP(Tabla3[[#This Row],[Entrega]],#REF!,7)</f>
        <v>#REF!</v>
      </c>
      <c r="S188" s="2" t="e">
        <f>VLOOKUP(Tabla3[[#This Row],[Entrega]],#REF!,19)</f>
        <v>#REF!</v>
      </c>
      <c r="T188" s="3" t="e">
        <f>VLOOKUP(Tabla3[[#This Row],[Entrega]],#REF!,20)</f>
        <v>#REF!</v>
      </c>
    </row>
    <row r="189" spans="1:20" x14ac:dyDescent="0.2">
      <c r="A189" s="1">
        <v>194404</v>
      </c>
      <c r="B189" s="4">
        <v>44832</v>
      </c>
      <c r="C189" s="1" t="s">
        <v>18</v>
      </c>
      <c r="D189" s="5">
        <v>0.92519675925925926</v>
      </c>
      <c r="E189" s="5">
        <v>2.9629629629629628E-3</v>
      </c>
      <c r="F189" s="5">
        <v>2.8391203703703707E-2</v>
      </c>
      <c r="G189" s="1">
        <v>800000001</v>
      </c>
      <c r="H189" s="1" t="s">
        <v>21</v>
      </c>
      <c r="I189" s="1" t="s">
        <v>81</v>
      </c>
      <c r="J189" s="5">
        <v>7.7766203703703699E-2</v>
      </c>
      <c r="K189" s="5">
        <v>2.5428240740740741E-2</v>
      </c>
      <c r="L189" s="1" t="s">
        <v>83</v>
      </c>
      <c r="M189" s="1">
        <v>127388</v>
      </c>
      <c r="N189" s="1">
        <v>200249295</v>
      </c>
      <c r="O189" s="1">
        <v>1</v>
      </c>
      <c r="P189" s="3" t="e">
        <f>VLOOKUP(Tabla3[[#This Row],[Entrega]],#REF!,4)</f>
        <v>#REF!</v>
      </c>
      <c r="Q189" s="2" t="e">
        <f>VLOOKUP(Tabla3[[#This Row],[Entrega]],#REF!,5)</f>
        <v>#REF!</v>
      </c>
      <c r="R189" s="2" t="e">
        <f>VLOOKUP(Tabla3[[#This Row],[Entrega]],#REF!,7)</f>
        <v>#REF!</v>
      </c>
      <c r="S189" s="2" t="e">
        <f>VLOOKUP(Tabla3[[#This Row],[Entrega]],#REF!,19)</f>
        <v>#REF!</v>
      </c>
      <c r="T189" s="3" t="e">
        <f>VLOOKUP(Tabla3[[#This Row],[Entrega]],#REF!,20)</f>
        <v>#REF!</v>
      </c>
    </row>
    <row r="190" spans="1:20" x14ac:dyDescent="0.2">
      <c r="A190" s="1">
        <v>194374</v>
      </c>
      <c r="B190" s="4">
        <v>44832</v>
      </c>
      <c r="C190" s="1" t="s">
        <v>18</v>
      </c>
      <c r="D190" s="5">
        <v>0.92556712962962961</v>
      </c>
      <c r="E190" s="5">
        <v>0.9617592592592592</v>
      </c>
      <c r="F190" s="5">
        <v>2.2800925925925927E-3</v>
      </c>
      <c r="G190" s="1">
        <v>800000001</v>
      </c>
      <c r="H190" s="1" t="s">
        <v>21</v>
      </c>
      <c r="I190" s="1" t="s">
        <v>45</v>
      </c>
      <c r="J190" s="5">
        <v>3.619212962962963E-2</v>
      </c>
      <c r="K190" s="5">
        <v>4.0520833333333332E-2</v>
      </c>
      <c r="L190" s="1" t="s">
        <v>49</v>
      </c>
      <c r="M190" s="1">
        <v>127387</v>
      </c>
      <c r="N190" s="1">
        <v>200249296</v>
      </c>
      <c r="O190" s="1">
        <v>1</v>
      </c>
      <c r="P190" s="3" t="e">
        <f>VLOOKUP(Tabla3[[#This Row],[Entrega]],#REF!,4)</f>
        <v>#REF!</v>
      </c>
      <c r="Q190" s="2" t="e">
        <f>VLOOKUP(Tabla3[[#This Row],[Entrega]],#REF!,5)</f>
        <v>#REF!</v>
      </c>
      <c r="R190" s="2" t="e">
        <f>VLOOKUP(Tabla3[[#This Row],[Entrega]],#REF!,7)</f>
        <v>#REF!</v>
      </c>
      <c r="S190" s="2" t="e">
        <f>VLOOKUP(Tabla3[[#This Row],[Entrega]],#REF!,19)</f>
        <v>#REF!</v>
      </c>
      <c r="T190" s="3" t="e">
        <f>VLOOKUP(Tabla3[[#This Row],[Entrega]],#REF!,20)</f>
        <v>#REF!</v>
      </c>
    </row>
    <row r="191" spans="1:20" x14ac:dyDescent="0.2">
      <c r="A191" s="1">
        <v>194373</v>
      </c>
      <c r="B191" s="4">
        <v>44831</v>
      </c>
      <c r="C191" s="1" t="s">
        <v>18</v>
      </c>
      <c r="D191" s="5">
        <v>0.90766203703703707</v>
      </c>
      <c r="E191" s="5">
        <v>0.96168981481481486</v>
      </c>
      <c r="F191" s="5">
        <v>0.99050925925925926</v>
      </c>
      <c r="G191" s="1">
        <v>800000000</v>
      </c>
      <c r="H191" s="1" t="s">
        <v>20</v>
      </c>
      <c r="I191" s="1" t="s">
        <v>67</v>
      </c>
      <c r="J191" s="5">
        <v>5.4027777777777779E-2</v>
      </c>
      <c r="K191" s="5">
        <v>2.8819444444444443E-2</v>
      </c>
      <c r="L191" s="1" t="s">
        <v>99</v>
      </c>
      <c r="M191" s="1">
        <v>127386</v>
      </c>
      <c r="N191" s="1">
        <v>200249294</v>
      </c>
      <c r="O191" s="1">
        <v>1</v>
      </c>
      <c r="P191" s="3" t="e">
        <f>VLOOKUP(Tabla3[[#This Row],[Entrega]],#REF!,4)</f>
        <v>#REF!</v>
      </c>
      <c r="Q191" s="2" t="e">
        <f>VLOOKUP(Tabla3[[#This Row],[Entrega]],#REF!,5)</f>
        <v>#REF!</v>
      </c>
      <c r="R191" s="2" t="e">
        <f>VLOOKUP(Tabla3[[#This Row],[Entrega]],#REF!,7)</f>
        <v>#REF!</v>
      </c>
      <c r="S191" s="2" t="e">
        <f>VLOOKUP(Tabla3[[#This Row],[Entrega]],#REF!,19)</f>
        <v>#REF!</v>
      </c>
      <c r="T191" s="3" t="e">
        <f>VLOOKUP(Tabla3[[#This Row],[Entrega]],#REF!,20)</f>
        <v>#REF!</v>
      </c>
    </row>
    <row r="192" spans="1:20" x14ac:dyDescent="0.2">
      <c r="A192" s="1">
        <v>194372</v>
      </c>
      <c r="B192" s="4">
        <v>44831</v>
      </c>
      <c r="C192" s="1" t="s">
        <v>18</v>
      </c>
      <c r="D192" s="5">
        <v>0.72393518518518529</v>
      </c>
      <c r="E192" s="5">
        <v>0.90546296296296302</v>
      </c>
      <c r="F192" s="5">
        <v>0.97028935185185183</v>
      </c>
      <c r="G192" s="1">
        <v>800000417</v>
      </c>
      <c r="H192" s="1" t="s">
        <v>28</v>
      </c>
      <c r="I192" s="1" t="s">
        <v>151</v>
      </c>
      <c r="J192" s="5">
        <v>0.18152777777777776</v>
      </c>
      <c r="K192" s="5">
        <v>6.4826388888888892E-2</v>
      </c>
      <c r="L192" s="1" t="s">
        <v>152</v>
      </c>
      <c r="M192" s="1">
        <v>127385</v>
      </c>
      <c r="N192" s="1">
        <v>200249291</v>
      </c>
      <c r="O192" s="1">
        <v>1</v>
      </c>
      <c r="P192" s="3" t="e">
        <f>VLOOKUP(Tabla3[[#This Row],[Entrega]],#REF!,4)</f>
        <v>#REF!</v>
      </c>
      <c r="Q192" s="2" t="e">
        <f>VLOOKUP(Tabla3[[#This Row],[Entrega]],#REF!,5)</f>
        <v>#REF!</v>
      </c>
      <c r="R192" s="2" t="e">
        <f>VLOOKUP(Tabla3[[#This Row],[Entrega]],#REF!,7)</f>
        <v>#REF!</v>
      </c>
      <c r="S192" s="2" t="e">
        <f>VLOOKUP(Tabla3[[#This Row],[Entrega]],#REF!,19)</f>
        <v>#REF!</v>
      </c>
      <c r="T192" s="3" t="e">
        <f>VLOOKUP(Tabla3[[#This Row],[Entrega]],#REF!,20)</f>
        <v>#REF!</v>
      </c>
    </row>
    <row r="193" spans="1:20" x14ac:dyDescent="0.2">
      <c r="A193" s="1">
        <v>194371</v>
      </c>
      <c r="B193" s="4">
        <v>44831</v>
      </c>
      <c r="C193" s="1" t="s">
        <v>18</v>
      </c>
      <c r="D193" s="5">
        <v>0.91607638888888887</v>
      </c>
      <c r="E193" s="5">
        <v>0.95321759259259264</v>
      </c>
      <c r="F193" s="5">
        <v>0.96966435185185185</v>
      </c>
      <c r="G193" s="1">
        <v>800000001</v>
      </c>
      <c r="H193" s="1" t="s">
        <v>21</v>
      </c>
      <c r="I193" s="1" t="s">
        <v>41</v>
      </c>
      <c r="J193" s="5">
        <v>3.7141203703703704E-2</v>
      </c>
      <c r="K193" s="5">
        <v>1.6446759259259262E-2</v>
      </c>
      <c r="L193" s="1" t="s">
        <v>73</v>
      </c>
      <c r="M193" s="1">
        <v>127384</v>
      </c>
      <c r="N193" s="1">
        <v>200249292</v>
      </c>
      <c r="O193" s="1">
        <v>1</v>
      </c>
      <c r="P193" s="3" t="e">
        <f>VLOOKUP(Tabla3[[#This Row],[Entrega]],#REF!,4)</f>
        <v>#REF!</v>
      </c>
      <c r="Q193" s="2" t="e">
        <f>VLOOKUP(Tabla3[[#This Row],[Entrega]],#REF!,5)</f>
        <v>#REF!</v>
      </c>
      <c r="R193" s="2" t="e">
        <f>VLOOKUP(Tabla3[[#This Row],[Entrega]],#REF!,7)</f>
        <v>#REF!</v>
      </c>
      <c r="S193" s="2" t="e">
        <f>VLOOKUP(Tabla3[[#This Row],[Entrega]],#REF!,19)</f>
        <v>#REF!</v>
      </c>
      <c r="T193" s="3" t="e">
        <f>VLOOKUP(Tabla3[[#This Row],[Entrega]],#REF!,20)</f>
        <v>#REF!</v>
      </c>
    </row>
    <row r="194" spans="1:20" x14ac:dyDescent="0.2">
      <c r="A194" s="1">
        <v>194370</v>
      </c>
      <c r="B194" s="4">
        <v>44831</v>
      </c>
      <c r="C194" s="1" t="s">
        <v>16</v>
      </c>
      <c r="D194" s="5">
        <v>0.68493055555555549</v>
      </c>
      <c r="E194" s="5">
        <v>0.85348379629629623</v>
      </c>
      <c r="F194" s="5">
        <v>0.90517361111111105</v>
      </c>
      <c r="G194" s="1">
        <v>800000251</v>
      </c>
      <c r="H194" s="1" t="s">
        <v>38</v>
      </c>
      <c r="I194" s="1" t="s">
        <v>58</v>
      </c>
      <c r="J194" s="5">
        <v>0.16855324074074074</v>
      </c>
      <c r="K194" s="5">
        <v>5.168981481481482E-2</v>
      </c>
      <c r="L194" s="1" t="s">
        <v>59</v>
      </c>
      <c r="M194" s="1">
        <v>127382</v>
      </c>
      <c r="N194" s="1">
        <v>200249290</v>
      </c>
      <c r="O194" s="1">
        <v>1</v>
      </c>
      <c r="P194" s="3" t="e">
        <f>VLOOKUP(Tabla3[[#This Row],[Entrega]],#REF!,4)</f>
        <v>#REF!</v>
      </c>
      <c r="Q194" s="2" t="e">
        <f>VLOOKUP(Tabla3[[#This Row],[Entrega]],#REF!,5)</f>
        <v>#REF!</v>
      </c>
      <c r="R194" s="2" t="e">
        <f>VLOOKUP(Tabla3[[#This Row],[Entrega]],#REF!,7)</f>
        <v>#REF!</v>
      </c>
      <c r="S194" s="2" t="e">
        <f>VLOOKUP(Tabla3[[#This Row],[Entrega]],#REF!,19)</f>
        <v>#REF!</v>
      </c>
      <c r="T194" s="3" t="e">
        <f>VLOOKUP(Tabla3[[#This Row],[Entrega]],#REF!,20)</f>
        <v>#REF!</v>
      </c>
    </row>
    <row r="195" spans="1:20" x14ac:dyDescent="0.2">
      <c r="A195" s="1">
        <v>194369</v>
      </c>
      <c r="B195" s="4">
        <v>44831</v>
      </c>
      <c r="C195" s="1" t="s">
        <v>16</v>
      </c>
      <c r="D195" s="5">
        <v>0.66754629629629625</v>
      </c>
      <c r="E195" s="5">
        <v>0.86259259259259258</v>
      </c>
      <c r="F195" s="5">
        <v>0.89893518518518523</v>
      </c>
      <c r="G195" s="1">
        <v>800000269</v>
      </c>
      <c r="H195" s="1" t="s">
        <v>36</v>
      </c>
      <c r="I195" s="1" t="s">
        <v>42</v>
      </c>
      <c r="J195" s="5">
        <v>0.1950462962962963</v>
      </c>
      <c r="K195" s="5">
        <v>3.6342592592592593E-2</v>
      </c>
      <c r="L195" s="1" t="s">
        <v>105</v>
      </c>
      <c r="M195" s="1">
        <v>127383</v>
      </c>
      <c r="N195" s="1">
        <v>200249289</v>
      </c>
      <c r="O195" s="1">
        <v>1</v>
      </c>
      <c r="P195" s="3" t="e">
        <f>VLOOKUP(Tabla3[[#This Row],[Entrega]],#REF!,4)</f>
        <v>#REF!</v>
      </c>
      <c r="Q195" s="2" t="e">
        <f>VLOOKUP(Tabla3[[#This Row],[Entrega]],#REF!,5)</f>
        <v>#REF!</v>
      </c>
      <c r="R195" s="2" t="e">
        <f>VLOOKUP(Tabla3[[#This Row],[Entrega]],#REF!,7)</f>
        <v>#REF!</v>
      </c>
      <c r="S195" s="2" t="e">
        <f>VLOOKUP(Tabla3[[#This Row],[Entrega]],#REF!,19)</f>
        <v>#REF!</v>
      </c>
      <c r="T195" s="3" t="e">
        <f>VLOOKUP(Tabla3[[#This Row],[Entrega]],#REF!,20)</f>
        <v>#REF!</v>
      </c>
    </row>
    <row r="196" spans="1:20" x14ac:dyDescent="0.2">
      <c r="A196" s="1">
        <v>194368</v>
      </c>
      <c r="B196" s="4">
        <v>44831</v>
      </c>
      <c r="C196" s="1" t="s">
        <v>16</v>
      </c>
      <c r="D196" s="5">
        <v>0.63474537037037038</v>
      </c>
      <c r="E196" s="5">
        <v>0.84178240740740751</v>
      </c>
      <c r="F196" s="5">
        <v>0.88385416666666661</v>
      </c>
      <c r="G196" s="1">
        <v>800000251</v>
      </c>
      <c r="H196" s="1" t="s">
        <v>38</v>
      </c>
      <c r="I196" s="1" t="s">
        <v>104</v>
      </c>
      <c r="J196" s="5">
        <v>0.20703703703703705</v>
      </c>
      <c r="K196" s="5">
        <v>4.207175925925926E-2</v>
      </c>
      <c r="L196" s="1" t="s">
        <v>124</v>
      </c>
      <c r="M196" s="1">
        <v>127381</v>
      </c>
      <c r="N196" s="1">
        <v>200249288</v>
      </c>
      <c r="O196" s="1">
        <v>1</v>
      </c>
      <c r="P196" s="3" t="e">
        <f>VLOOKUP(Tabla3[[#This Row],[Entrega]],#REF!,4)</f>
        <v>#REF!</v>
      </c>
      <c r="Q196" s="2" t="e">
        <f>VLOOKUP(Tabla3[[#This Row],[Entrega]],#REF!,5)</f>
        <v>#REF!</v>
      </c>
      <c r="R196" s="2" t="e">
        <f>VLOOKUP(Tabla3[[#This Row],[Entrega]],#REF!,7)</f>
        <v>#REF!</v>
      </c>
      <c r="S196" s="2" t="e">
        <f>VLOOKUP(Tabla3[[#This Row],[Entrega]],#REF!,19)</f>
        <v>#REF!</v>
      </c>
      <c r="T196" s="3" t="e">
        <f>VLOOKUP(Tabla3[[#This Row],[Entrega]],#REF!,20)</f>
        <v>#REF!</v>
      </c>
    </row>
    <row r="197" spans="1:20" x14ac:dyDescent="0.2">
      <c r="A197" s="1">
        <v>195064</v>
      </c>
      <c r="B197" s="4">
        <v>44835</v>
      </c>
      <c r="C197" s="1" t="s">
        <v>87</v>
      </c>
      <c r="D197" s="5">
        <v>0.30070601851851853</v>
      </c>
      <c r="E197" s="5">
        <v>0.32193287037037038</v>
      </c>
      <c r="F197" s="5">
        <v>0.34293981481481484</v>
      </c>
      <c r="G197" s="1">
        <v>800000891</v>
      </c>
      <c r="H197" s="1" t="s">
        <v>44</v>
      </c>
      <c r="I197" s="1" t="s">
        <v>80</v>
      </c>
      <c r="J197" s="5">
        <v>2.1226851851851854E-2</v>
      </c>
      <c r="K197" s="5">
        <v>2.1006944444444443E-2</v>
      </c>
      <c r="L197" s="1" t="s">
        <v>98</v>
      </c>
      <c r="M197" s="1">
        <v>55388</v>
      </c>
      <c r="N197" s="1">
        <v>83324814</v>
      </c>
      <c r="O197" s="1">
        <v>1</v>
      </c>
      <c r="P197" s="3" t="e">
        <f>VLOOKUP(Tabla3[[#This Row],[Entrega]],#REF!,4)</f>
        <v>#REF!</v>
      </c>
      <c r="Q197" s="2" t="e">
        <f>VLOOKUP(Tabla3[[#This Row],[Entrega]],#REF!,5)</f>
        <v>#REF!</v>
      </c>
      <c r="R197" s="2" t="e">
        <f>VLOOKUP(Tabla3[[#This Row],[Entrega]],#REF!,7)</f>
        <v>#REF!</v>
      </c>
      <c r="S197" s="2" t="e">
        <f>VLOOKUP(Tabla3[[#This Row],[Entrega]],#REF!,19)</f>
        <v>#REF!</v>
      </c>
      <c r="T197" s="3" t="e">
        <f>VLOOKUP(Tabla3[[#This Row],[Entrega]],#REF!,20)</f>
        <v>#REF!</v>
      </c>
    </row>
    <row r="198" spans="1:20" x14ac:dyDescent="0.2">
      <c r="A198" s="1">
        <v>194366</v>
      </c>
      <c r="B198" s="4">
        <v>44831</v>
      </c>
      <c r="C198" s="1" t="s">
        <v>18</v>
      </c>
      <c r="D198" s="5">
        <v>0.72004629629629635</v>
      </c>
      <c r="E198" s="5">
        <v>0.78968749999999999</v>
      </c>
      <c r="F198" s="5">
        <v>0.84825231481481478</v>
      </c>
      <c r="G198" s="1">
        <v>800000000</v>
      </c>
      <c r="H198" s="1" t="s">
        <v>20</v>
      </c>
      <c r="I198" s="1" t="s">
        <v>45</v>
      </c>
      <c r="J198" s="5">
        <v>6.9641203703703705E-2</v>
      </c>
      <c r="K198" s="5">
        <v>5.8564814814814813E-2</v>
      </c>
      <c r="L198" s="1" t="s">
        <v>49</v>
      </c>
      <c r="M198" s="1">
        <v>127380</v>
      </c>
      <c r="N198" s="1">
        <v>200249287</v>
      </c>
      <c r="O198" s="1">
        <v>1</v>
      </c>
      <c r="P198" s="3" t="e">
        <f>VLOOKUP(Tabla3[[#This Row],[Entrega]],#REF!,4)</f>
        <v>#REF!</v>
      </c>
      <c r="Q198" s="2" t="e">
        <f>VLOOKUP(Tabla3[[#This Row],[Entrega]],#REF!,5)</f>
        <v>#REF!</v>
      </c>
      <c r="R198" s="2" t="e">
        <f>VLOOKUP(Tabla3[[#This Row],[Entrega]],#REF!,7)</f>
        <v>#REF!</v>
      </c>
      <c r="S198" s="2" t="e">
        <f>VLOOKUP(Tabla3[[#This Row],[Entrega]],#REF!,19)</f>
        <v>#REF!</v>
      </c>
      <c r="T198" s="3" t="e">
        <f>VLOOKUP(Tabla3[[#This Row],[Entrega]],#REF!,20)</f>
        <v>#REF!</v>
      </c>
    </row>
    <row r="199" spans="1:20" x14ac:dyDescent="0.2">
      <c r="A199" s="1">
        <v>194365</v>
      </c>
      <c r="B199" s="4">
        <v>44831</v>
      </c>
      <c r="C199" s="1" t="s">
        <v>18</v>
      </c>
      <c r="D199" s="5">
        <v>0.69925925925925936</v>
      </c>
      <c r="E199" s="5">
        <v>0.78821759259259261</v>
      </c>
      <c r="F199" s="5">
        <v>0.83528935185185194</v>
      </c>
      <c r="G199" s="1">
        <v>800000000</v>
      </c>
      <c r="H199" s="1" t="s">
        <v>20</v>
      </c>
      <c r="I199" s="1" t="s">
        <v>67</v>
      </c>
      <c r="J199" s="5">
        <v>8.895833333333332E-2</v>
      </c>
      <c r="K199" s="5">
        <v>4.7071759259259265E-2</v>
      </c>
      <c r="L199" s="1" t="s">
        <v>99</v>
      </c>
      <c r="M199" s="1">
        <v>127379</v>
      </c>
      <c r="N199" s="1">
        <v>200249286</v>
      </c>
      <c r="O199" s="1">
        <v>1</v>
      </c>
      <c r="P199" s="3" t="e">
        <f>VLOOKUP(Tabla3[[#This Row],[Entrega]],#REF!,4)</f>
        <v>#REF!</v>
      </c>
      <c r="Q199" s="2" t="e">
        <f>VLOOKUP(Tabla3[[#This Row],[Entrega]],#REF!,5)</f>
        <v>#REF!</v>
      </c>
      <c r="R199" s="2" t="e">
        <f>VLOOKUP(Tabla3[[#This Row],[Entrega]],#REF!,7)</f>
        <v>#REF!</v>
      </c>
      <c r="S199" s="2" t="e">
        <f>VLOOKUP(Tabla3[[#This Row],[Entrega]],#REF!,19)</f>
        <v>#REF!</v>
      </c>
      <c r="T199" s="3" t="e">
        <f>VLOOKUP(Tabla3[[#This Row],[Entrega]],#REF!,20)</f>
        <v>#REF!</v>
      </c>
    </row>
    <row r="200" spans="1:20" x14ac:dyDescent="0.2">
      <c r="A200" s="1">
        <v>194364</v>
      </c>
      <c r="B200" s="4">
        <v>44831</v>
      </c>
      <c r="C200" s="1" t="s">
        <v>18</v>
      </c>
      <c r="D200" s="5">
        <v>0.68563657407407408</v>
      </c>
      <c r="E200" s="5">
        <v>0.75142361111111111</v>
      </c>
      <c r="F200" s="5">
        <v>0.80662037037037038</v>
      </c>
      <c r="G200" s="1">
        <v>800000306</v>
      </c>
      <c r="H200" s="1" t="s">
        <v>54</v>
      </c>
      <c r="I200" s="1" t="s">
        <v>46</v>
      </c>
      <c r="J200" s="5">
        <v>6.5787037037037033E-2</v>
      </c>
      <c r="K200" s="5">
        <v>5.5196759259259265E-2</v>
      </c>
      <c r="L200" s="1" t="s">
        <v>52</v>
      </c>
      <c r="M200" s="1">
        <v>127378</v>
      </c>
      <c r="N200" s="1">
        <v>200249284</v>
      </c>
      <c r="O200" s="1">
        <v>1</v>
      </c>
      <c r="P200" s="3" t="e">
        <f>VLOOKUP(Tabla3[[#This Row],[Entrega]],#REF!,4)</f>
        <v>#REF!</v>
      </c>
      <c r="Q200" s="2" t="e">
        <f>VLOOKUP(Tabla3[[#This Row],[Entrega]],#REF!,5)</f>
        <v>#REF!</v>
      </c>
      <c r="R200" s="2" t="e">
        <f>VLOOKUP(Tabla3[[#This Row],[Entrega]],#REF!,7)</f>
        <v>#REF!</v>
      </c>
      <c r="S200" s="2" t="e">
        <f>VLOOKUP(Tabla3[[#This Row],[Entrega]],#REF!,19)</f>
        <v>#REF!</v>
      </c>
      <c r="T200" s="3" t="e">
        <f>VLOOKUP(Tabla3[[#This Row],[Entrega]],#REF!,20)</f>
        <v>#REF!</v>
      </c>
    </row>
    <row r="201" spans="1:20" x14ac:dyDescent="0.2">
      <c r="A201" s="1">
        <v>194363</v>
      </c>
      <c r="B201" s="4">
        <v>44831</v>
      </c>
      <c r="C201" s="1" t="s">
        <v>16</v>
      </c>
      <c r="D201" s="5">
        <v>0.51836805555555554</v>
      </c>
      <c r="E201" s="5">
        <v>0.76053240740740735</v>
      </c>
      <c r="F201" s="5">
        <v>0.79671296296296301</v>
      </c>
      <c r="G201" s="1">
        <v>800000014</v>
      </c>
      <c r="H201" s="1" t="s">
        <v>29</v>
      </c>
      <c r="I201" s="1" t="s">
        <v>134</v>
      </c>
      <c r="J201" s="5">
        <v>0.24216435185185184</v>
      </c>
      <c r="K201" s="5">
        <v>3.6180555555555556E-2</v>
      </c>
      <c r="L201" s="1" t="s">
        <v>227</v>
      </c>
      <c r="M201" s="1">
        <v>127377</v>
      </c>
      <c r="N201" s="1">
        <v>200249285</v>
      </c>
      <c r="O201" s="1">
        <v>1</v>
      </c>
      <c r="P201" s="3" t="e">
        <f>VLOOKUP(Tabla3[[#This Row],[Entrega]],#REF!,4)</f>
        <v>#REF!</v>
      </c>
      <c r="Q201" s="2" t="e">
        <f>VLOOKUP(Tabla3[[#This Row],[Entrega]],#REF!,5)</f>
        <v>#REF!</v>
      </c>
      <c r="R201" s="2" t="e">
        <f>VLOOKUP(Tabla3[[#This Row],[Entrega]],#REF!,7)</f>
        <v>#REF!</v>
      </c>
      <c r="S201" s="2" t="e">
        <f>VLOOKUP(Tabla3[[#This Row],[Entrega]],#REF!,19)</f>
        <v>#REF!</v>
      </c>
      <c r="T201" s="3" t="e">
        <f>VLOOKUP(Tabla3[[#This Row],[Entrega]],#REF!,20)</f>
        <v>#REF!</v>
      </c>
    </row>
    <row r="202" spans="1:20" x14ac:dyDescent="0.2">
      <c r="A202" s="1">
        <v>194362</v>
      </c>
      <c r="B202" s="4">
        <v>44831</v>
      </c>
      <c r="C202" s="1" t="s">
        <v>16</v>
      </c>
      <c r="D202" s="5">
        <v>0.49063657407407407</v>
      </c>
      <c r="E202" s="5">
        <v>0.72506944444444443</v>
      </c>
      <c r="F202" s="5">
        <v>0.77494212962962961</v>
      </c>
      <c r="G202" s="1">
        <v>800000268</v>
      </c>
      <c r="H202" s="1" t="s">
        <v>24</v>
      </c>
      <c r="I202" s="1" t="s">
        <v>111</v>
      </c>
      <c r="J202" s="5">
        <v>0.23443287037037039</v>
      </c>
      <c r="K202" s="5">
        <v>4.987268518518518E-2</v>
      </c>
      <c r="L202" s="1" t="s">
        <v>112</v>
      </c>
      <c r="M202" s="1">
        <v>127375</v>
      </c>
      <c r="N202" s="1">
        <v>200249283</v>
      </c>
      <c r="O202" s="1">
        <v>1</v>
      </c>
      <c r="P202" s="3" t="e">
        <f>VLOOKUP(Tabla3[[#This Row],[Entrega]],#REF!,4)</f>
        <v>#REF!</v>
      </c>
      <c r="Q202" s="2" t="e">
        <f>VLOOKUP(Tabla3[[#This Row],[Entrega]],#REF!,5)</f>
        <v>#REF!</v>
      </c>
      <c r="R202" s="2" t="e">
        <f>VLOOKUP(Tabla3[[#This Row],[Entrega]],#REF!,7)</f>
        <v>#REF!</v>
      </c>
      <c r="S202" s="2" t="e">
        <f>VLOOKUP(Tabla3[[#This Row],[Entrega]],#REF!,19)</f>
        <v>#REF!</v>
      </c>
      <c r="T202" s="3" t="e">
        <f>VLOOKUP(Tabla3[[#This Row],[Entrega]],#REF!,20)</f>
        <v>#REF!</v>
      </c>
    </row>
    <row r="203" spans="1:20" x14ac:dyDescent="0.2">
      <c r="A203" s="1">
        <v>194361</v>
      </c>
      <c r="B203" s="4">
        <v>44831</v>
      </c>
      <c r="C203" s="1" t="s">
        <v>18</v>
      </c>
      <c r="D203" s="5">
        <v>0.65157407407407408</v>
      </c>
      <c r="E203" s="5">
        <v>0.7114583333333333</v>
      </c>
      <c r="F203" s="5">
        <v>0.76976851851851846</v>
      </c>
      <c r="G203" s="1">
        <v>800000000</v>
      </c>
      <c r="H203" s="1" t="s">
        <v>20</v>
      </c>
      <c r="I203" s="1" t="s">
        <v>88</v>
      </c>
      <c r="J203" s="5">
        <v>5.9884259259259255E-2</v>
      </c>
      <c r="K203" s="5">
        <v>5.8310185185185187E-2</v>
      </c>
      <c r="L203" s="1" t="s">
        <v>83</v>
      </c>
      <c r="M203" s="1">
        <v>127376</v>
      </c>
      <c r="N203" s="1">
        <v>200249282</v>
      </c>
      <c r="O203" s="1">
        <v>1</v>
      </c>
      <c r="P203" s="3" t="e">
        <f>VLOOKUP(Tabla3[[#This Row],[Entrega]],#REF!,4)</f>
        <v>#REF!</v>
      </c>
      <c r="Q203" s="2" t="e">
        <f>VLOOKUP(Tabla3[[#This Row],[Entrega]],#REF!,5)</f>
        <v>#REF!</v>
      </c>
      <c r="R203" s="2" t="e">
        <f>VLOOKUP(Tabla3[[#This Row],[Entrega]],#REF!,7)</f>
        <v>#REF!</v>
      </c>
      <c r="S203" s="2" t="e">
        <f>VLOOKUP(Tabla3[[#This Row],[Entrega]],#REF!,19)</f>
        <v>#REF!</v>
      </c>
      <c r="T203" s="3" t="e">
        <f>VLOOKUP(Tabla3[[#This Row],[Entrega]],#REF!,20)</f>
        <v>#REF!</v>
      </c>
    </row>
    <row r="204" spans="1:20" x14ac:dyDescent="0.2">
      <c r="A204" s="1">
        <v>194360</v>
      </c>
      <c r="B204" s="4">
        <v>44831</v>
      </c>
      <c r="C204" s="1" t="s">
        <v>16</v>
      </c>
      <c r="D204" s="5">
        <v>0.46329861111111109</v>
      </c>
      <c r="E204" s="5">
        <v>0.69298611111111119</v>
      </c>
      <c r="F204" s="5">
        <v>0.73445601851851849</v>
      </c>
      <c r="G204" s="1">
        <v>800000268</v>
      </c>
      <c r="H204" s="1" t="s">
        <v>24</v>
      </c>
      <c r="I204" s="1" t="s">
        <v>68</v>
      </c>
      <c r="J204" s="5">
        <v>0.22968750000000002</v>
      </c>
      <c r="K204" s="5">
        <v>4.1469907407407407E-2</v>
      </c>
      <c r="L204" s="1" t="s">
        <v>170</v>
      </c>
      <c r="M204" s="1">
        <v>127374</v>
      </c>
      <c r="N204" s="1">
        <v>200249281</v>
      </c>
      <c r="O204" s="1">
        <v>1</v>
      </c>
      <c r="P204" s="3" t="e">
        <f>VLOOKUP(Tabla3[[#This Row],[Entrega]],#REF!,4)</f>
        <v>#REF!</v>
      </c>
      <c r="Q204" s="2" t="e">
        <f>VLOOKUP(Tabla3[[#This Row],[Entrega]],#REF!,5)</f>
        <v>#REF!</v>
      </c>
      <c r="R204" s="2" t="e">
        <f>VLOOKUP(Tabla3[[#This Row],[Entrega]],#REF!,7)</f>
        <v>#REF!</v>
      </c>
      <c r="S204" s="2" t="e">
        <f>VLOOKUP(Tabla3[[#This Row],[Entrega]],#REF!,19)</f>
        <v>#REF!</v>
      </c>
      <c r="T204" s="3" t="e">
        <f>VLOOKUP(Tabla3[[#This Row],[Entrega]],#REF!,20)</f>
        <v>#REF!</v>
      </c>
    </row>
    <row r="205" spans="1:20" x14ac:dyDescent="0.2">
      <c r="A205" s="1">
        <v>194359</v>
      </c>
      <c r="B205" s="4">
        <v>44831</v>
      </c>
      <c r="C205" s="1" t="s">
        <v>18</v>
      </c>
      <c r="D205" s="5">
        <v>0.63703703703703707</v>
      </c>
      <c r="E205" s="5">
        <v>0.6636805555555555</v>
      </c>
      <c r="F205" s="5">
        <v>0.71682870370370377</v>
      </c>
      <c r="G205" s="1">
        <v>800000000</v>
      </c>
      <c r="H205" s="1" t="s">
        <v>20</v>
      </c>
      <c r="I205" s="1" t="s">
        <v>228</v>
      </c>
      <c r="J205" s="5">
        <v>2.6643518518518521E-2</v>
      </c>
      <c r="K205" s="5">
        <v>5.3148148148148146E-2</v>
      </c>
      <c r="L205" s="1" t="s">
        <v>229</v>
      </c>
      <c r="M205" s="1">
        <v>127373</v>
      </c>
      <c r="N205" s="1">
        <v>200249280</v>
      </c>
      <c r="O205" s="1">
        <v>1</v>
      </c>
      <c r="P205" s="3" t="e">
        <f>VLOOKUP(Tabla3[[#This Row],[Entrega]],#REF!,4)</f>
        <v>#REF!</v>
      </c>
      <c r="Q205" s="2" t="e">
        <f>VLOOKUP(Tabla3[[#This Row],[Entrega]],#REF!,5)</f>
        <v>#REF!</v>
      </c>
      <c r="R205" s="2" t="e">
        <f>VLOOKUP(Tabla3[[#This Row],[Entrega]],#REF!,7)</f>
        <v>#REF!</v>
      </c>
      <c r="S205" s="2" t="e">
        <f>VLOOKUP(Tabla3[[#This Row],[Entrega]],#REF!,19)</f>
        <v>#REF!</v>
      </c>
      <c r="T205" s="3" t="e">
        <f>VLOOKUP(Tabla3[[#This Row],[Entrega]],#REF!,20)</f>
        <v>#REF!</v>
      </c>
    </row>
    <row r="206" spans="1:20" x14ac:dyDescent="0.2">
      <c r="A206" s="1">
        <v>194358</v>
      </c>
      <c r="B206" s="4">
        <v>44831</v>
      </c>
      <c r="C206" s="1" t="s">
        <v>16</v>
      </c>
      <c r="D206" s="5">
        <v>0.45109953703703703</v>
      </c>
      <c r="E206" s="5">
        <v>0.6702893518518519</v>
      </c>
      <c r="F206" s="5">
        <v>0.71238425925925919</v>
      </c>
      <c r="G206" s="1">
        <v>800000265</v>
      </c>
      <c r="H206" s="1" t="s">
        <v>194</v>
      </c>
      <c r="I206" s="1" t="s">
        <v>135</v>
      </c>
      <c r="J206" s="5">
        <v>0.21918981481481481</v>
      </c>
      <c r="K206" s="5">
        <v>4.2094907407407407E-2</v>
      </c>
      <c r="L206" s="1" t="s">
        <v>171</v>
      </c>
      <c r="M206" s="1">
        <v>127372</v>
      </c>
      <c r="N206" s="1">
        <v>200249279</v>
      </c>
      <c r="O206" s="1">
        <v>1</v>
      </c>
      <c r="P206" s="3" t="e">
        <f>VLOOKUP(Tabla3[[#This Row],[Entrega]],#REF!,4)</f>
        <v>#REF!</v>
      </c>
      <c r="Q206" s="2" t="e">
        <f>VLOOKUP(Tabla3[[#This Row],[Entrega]],#REF!,5)</f>
        <v>#REF!</v>
      </c>
      <c r="R206" s="2" t="e">
        <f>VLOOKUP(Tabla3[[#This Row],[Entrega]],#REF!,7)</f>
        <v>#REF!</v>
      </c>
      <c r="S206" s="2" t="e">
        <f>VLOOKUP(Tabla3[[#This Row],[Entrega]],#REF!,19)</f>
        <v>#REF!</v>
      </c>
      <c r="T206" s="3" t="e">
        <f>VLOOKUP(Tabla3[[#This Row],[Entrega]],#REF!,20)</f>
        <v>#REF!</v>
      </c>
    </row>
    <row r="207" spans="1:20" x14ac:dyDescent="0.2">
      <c r="A207" s="1">
        <v>194357</v>
      </c>
      <c r="B207" s="4">
        <v>44831</v>
      </c>
      <c r="C207" s="1" t="s">
        <v>18</v>
      </c>
      <c r="D207" s="5">
        <v>0.5725231481481482</v>
      </c>
      <c r="E207" s="5">
        <v>0.62311342592592589</v>
      </c>
      <c r="F207" s="5">
        <v>0.6827199074074074</v>
      </c>
      <c r="G207" s="1">
        <v>800000002</v>
      </c>
      <c r="H207" s="1" t="s">
        <v>23</v>
      </c>
      <c r="I207" s="1" t="s">
        <v>230</v>
      </c>
      <c r="J207" s="5">
        <v>5.0590277777777776E-2</v>
      </c>
      <c r="K207" s="5">
        <v>5.9606481481481483E-2</v>
      </c>
      <c r="L207" s="1" t="s">
        <v>102</v>
      </c>
      <c r="M207" s="1">
        <v>127371</v>
      </c>
      <c r="N207" s="1">
        <v>200249278</v>
      </c>
      <c r="O207" s="1">
        <v>1</v>
      </c>
      <c r="P207" s="3" t="e">
        <f>VLOOKUP(Tabla3[[#This Row],[Entrega]],#REF!,4)</f>
        <v>#REF!</v>
      </c>
      <c r="Q207" s="2" t="e">
        <f>VLOOKUP(Tabla3[[#This Row],[Entrega]],#REF!,5)</f>
        <v>#REF!</v>
      </c>
      <c r="R207" s="2" t="e">
        <f>VLOOKUP(Tabla3[[#This Row],[Entrega]],#REF!,7)</f>
        <v>#REF!</v>
      </c>
      <c r="S207" s="2" t="e">
        <f>VLOOKUP(Tabla3[[#This Row],[Entrega]],#REF!,19)</f>
        <v>#REF!</v>
      </c>
      <c r="T207" s="3" t="e">
        <f>VLOOKUP(Tabla3[[#This Row],[Entrega]],#REF!,20)</f>
        <v>#REF!</v>
      </c>
    </row>
    <row r="208" spans="1:20" x14ac:dyDescent="0.2">
      <c r="A208" s="1">
        <v>194509</v>
      </c>
      <c r="B208" s="4">
        <v>44832</v>
      </c>
      <c r="C208" s="1" t="s">
        <v>16</v>
      </c>
      <c r="D208" s="5">
        <v>0.53913194444444446</v>
      </c>
      <c r="E208" s="5">
        <v>0.66115740740740747</v>
      </c>
      <c r="F208" s="5">
        <v>0.7065393518518519</v>
      </c>
      <c r="G208" s="1">
        <v>800000670</v>
      </c>
      <c r="H208" s="1" t="s">
        <v>44</v>
      </c>
      <c r="I208" s="1" t="s">
        <v>58</v>
      </c>
      <c r="J208" s="5">
        <v>0.12202546296296296</v>
      </c>
      <c r="K208" s="5">
        <v>4.538194444444444E-2</v>
      </c>
      <c r="L208" s="1" t="s">
        <v>218</v>
      </c>
      <c r="M208" s="1">
        <v>55341</v>
      </c>
      <c r="N208" s="1">
        <v>83324331</v>
      </c>
      <c r="O208" s="1">
        <v>1</v>
      </c>
      <c r="P208" s="3" t="e">
        <f>VLOOKUP(Tabla3[[#This Row],[Entrega]],#REF!,4)</f>
        <v>#REF!</v>
      </c>
      <c r="Q208" s="2" t="e">
        <f>VLOOKUP(Tabla3[[#This Row],[Entrega]],#REF!,5)</f>
        <v>#REF!</v>
      </c>
      <c r="R208" s="2" t="e">
        <f>VLOOKUP(Tabla3[[#This Row],[Entrega]],#REF!,7)</f>
        <v>#REF!</v>
      </c>
      <c r="S208" s="2" t="e">
        <f>VLOOKUP(Tabla3[[#This Row],[Entrega]],#REF!,19)</f>
        <v>#REF!</v>
      </c>
      <c r="T208" s="3" t="e">
        <f>VLOOKUP(Tabla3[[#This Row],[Entrega]],#REF!,20)</f>
        <v>#REF!</v>
      </c>
    </row>
    <row r="209" spans="1:20" x14ac:dyDescent="0.2">
      <c r="A209" s="1">
        <v>194355</v>
      </c>
      <c r="B209" s="4">
        <v>44831</v>
      </c>
      <c r="C209" s="1" t="s">
        <v>87</v>
      </c>
      <c r="D209" s="5">
        <v>0.58770833333333339</v>
      </c>
      <c r="E209" s="5">
        <v>0.60111111111111104</v>
      </c>
      <c r="F209" s="5">
        <v>0.61858796296296303</v>
      </c>
      <c r="G209" s="1">
        <v>800000891</v>
      </c>
      <c r="H209" s="1" t="s">
        <v>44</v>
      </c>
      <c r="I209" s="1" t="s">
        <v>67</v>
      </c>
      <c r="J209" s="5">
        <v>1.3402777777777777E-2</v>
      </c>
      <c r="K209" s="5">
        <v>1.7476851851851851E-2</v>
      </c>
      <c r="L209" s="1" t="s">
        <v>98</v>
      </c>
      <c r="M209" s="1">
        <v>55311</v>
      </c>
      <c r="N209" s="1">
        <v>83324151</v>
      </c>
      <c r="O209" s="1">
        <v>1</v>
      </c>
      <c r="P209" s="3" t="e">
        <f>VLOOKUP(Tabla3[[#This Row],[Entrega]],#REF!,4)</f>
        <v>#REF!</v>
      </c>
      <c r="Q209" s="2" t="e">
        <f>VLOOKUP(Tabla3[[#This Row],[Entrega]],#REF!,5)</f>
        <v>#REF!</v>
      </c>
      <c r="R209" s="2" t="e">
        <f>VLOOKUP(Tabla3[[#This Row],[Entrega]],#REF!,7)</f>
        <v>#REF!</v>
      </c>
      <c r="S209" s="2" t="e">
        <f>VLOOKUP(Tabla3[[#This Row],[Entrega]],#REF!,19)</f>
        <v>#REF!</v>
      </c>
      <c r="T209" s="3" t="e">
        <f>VLOOKUP(Tabla3[[#This Row],[Entrega]],#REF!,20)</f>
        <v>#REF!</v>
      </c>
    </row>
    <row r="210" spans="1:20" x14ac:dyDescent="0.2">
      <c r="A210" s="1">
        <v>194354</v>
      </c>
      <c r="B210" s="4">
        <v>44831</v>
      </c>
      <c r="C210" s="1" t="s">
        <v>87</v>
      </c>
      <c r="D210" s="5">
        <v>0.56765046296296295</v>
      </c>
      <c r="E210" s="5">
        <v>0.57251157407407405</v>
      </c>
      <c r="F210" s="5">
        <v>0.60723379629629626</v>
      </c>
      <c r="G210" s="1">
        <v>800000891</v>
      </c>
      <c r="H210" s="1" t="s">
        <v>44</v>
      </c>
      <c r="I210" s="1" t="s">
        <v>45</v>
      </c>
      <c r="J210" s="5">
        <v>4.8611111111111112E-3</v>
      </c>
      <c r="K210" s="5">
        <v>3.4722222222222224E-2</v>
      </c>
      <c r="L210" s="1" t="s">
        <v>160</v>
      </c>
      <c r="M210" s="1">
        <v>55310</v>
      </c>
      <c r="N210" s="1">
        <v>83324149</v>
      </c>
      <c r="O210" s="1">
        <v>1</v>
      </c>
      <c r="P210" s="3" t="e">
        <f>VLOOKUP(Tabla3[[#This Row],[Entrega]],#REF!,4)</f>
        <v>#REF!</v>
      </c>
      <c r="Q210" s="2" t="e">
        <f>VLOOKUP(Tabla3[[#This Row],[Entrega]],#REF!,5)</f>
        <v>#REF!</v>
      </c>
      <c r="R210" s="2" t="e">
        <f>VLOOKUP(Tabla3[[#This Row],[Entrega]],#REF!,7)</f>
        <v>#REF!</v>
      </c>
      <c r="S210" s="2" t="e">
        <f>VLOOKUP(Tabla3[[#This Row],[Entrega]],#REF!,19)</f>
        <v>#REF!</v>
      </c>
      <c r="T210" s="3" t="e">
        <f>VLOOKUP(Tabla3[[#This Row],[Entrega]],#REF!,20)</f>
        <v>#REF!</v>
      </c>
    </row>
    <row r="211" spans="1:20" x14ac:dyDescent="0.2">
      <c r="A211" s="1">
        <v>194353</v>
      </c>
      <c r="B211" s="4">
        <v>44831</v>
      </c>
      <c r="C211" s="1" t="s">
        <v>87</v>
      </c>
      <c r="D211" s="5">
        <v>0.54415509259259254</v>
      </c>
      <c r="E211" s="5">
        <v>0.5609143518518519</v>
      </c>
      <c r="F211" s="5">
        <v>0.5919444444444445</v>
      </c>
      <c r="G211" s="1">
        <v>800000891</v>
      </c>
      <c r="H211" s="1" t="s">
        <v>44</v>
      </c>
      <c r="I211" s="1" t="s">
        <v>46</v>
      </c>
      <c r="J211" s="5">
        <v>1.6759259259259258E-2</v>
      </c>
      <c r="K211" s="5">
        <v>3.1030092592592592E-2</v>
      </c>
      <c r="L211" s="1" t="s">
        <v>76</v>
      </c>
      <c r="M211" s="1">
        <v>55309</v>
      </c>
      <c r="N211" s="1">
        <v>83324148</v>
      </c>
      <c r="O211" s="1">
        <v>1</v>
      </c>
      <c r="P211" s="3" t="e">
        <f>VLOOKUP(Tabla3[[#This Row],[Entrega]],#REF!,4)</f>
        <v>#REF!</v>
      </c>
      <c r="Q211" s="2" t="e">
        <f>VLOOKUP(Tabla3[[#This Row],[Entrega]],#REF!,5)</f>
        <v>#REF!</v>
      </c>
      <c r="R211" s="2" t="e">
        <f>VLOOKUP(Tabla3[[#This Row],[Entrega]],#REF!,7)</f>
        <v>#REF!</v>
      </c>
      <c r="S211" s="2" t="e">
        <f>VLOOKUP(Tabla3[[#This Row],[Entrega]],#REF!,19)</f>
        <v>#REF!</v>
      </c>
      <c r="T211" s="3" t="e">
        <f>VLOOKUP(Tabla3[[#This Row],[Entrega]],#REF!,20)</f>
        <v>#REF!</v>
      </c>
    </row>
    <row r="212" spans="1:20" x14ac:dyDescent="0.2">
      <c r="A212" s="1">
        <v>194352</v>
      </c>
      <c r="B212" s="4">
        <v>44831</v>
      </c>
      <c r="C212" s="1" t="s">
        <v>87</v>
      </c>
      <c r="D212" s="5">
        <v>0.52645833333333336</v>
      </c>
      <c r="E212" s="5">
        <v>0.56089120370370371</v>
      </c>
      <c r="F212" s="5">
        <v>0.58348379629629632</v>
      </c>
      <c r="G212" s="1">
        <v>800000891</v>
      </c>
      <c r="H212" s="1" t="s">
        <v>44</v>
      </c>
      <c r="I212" s="1" t="s">
        <v>88</v>
      </c>
      <c r="J212" s="5">
        <v>3.4432870370370371E-2</v>
      </c>
      <c r="K212" s="5">
        <v>2.2592592592592591E-2</v>
      </c>
      <c r="L212" s="1" t="s">
        <v>82</v>
      </c>
      <c r="M212" s="1">
        <v>55308</v>
      </c>
      <c r="N212" s="1">
        <v>83324147</v>
      </c>
      <c r="O212" s="1">
        <v>1</v>
      </c>
      <c r="P212" s="3" t="e">
        <f>VLOOKUP(Tabla3[[#This Row],[Entrega]],#REF!,4)</f>
        <v>#REF!</v>
      </c>
      <c r="Q212" s="2" t="e">
        <f>VLOOKUP(Tabla3[[#This Row],[Entrega]],#REF!,5)</f>
        <v>#REF!</v>
      </c>
      <c r="R212" s="2" t="e">
        <f>VLOOKUP(Tabla3[[#This Row],[Entrega]],#REF!,7)</f>
        <v>#REF!</v>
      </c>
      <c r="S212" s="2" t="e">
        <f>VLOOKUP(Tabla3[[#This Row],[Entrega]],#REF!,19)</f>
        <v>#REF!</v>
      </c>
      <c r="T212" s="3" t="e">
        <f>VLOOKUP(Tabla3[[#This Row],[Entrega]],#REF!,20)</f>
        <v>#REF!</v>
      </c>
    </row>
    <row r="213" spans="1:20" x14ac:dyDescent="0.2">
      <c r="A213" s="1">
        <v>194351</v>
      </c>
      <c r="B213" s="4">
        <v>44831</v>
      </c>
      <c r="C213" s="1" t="s">
        <v>18</v>
      </c>
      <c r="D213" s="5">
        <v>0.44871527777777781</v>
      </c>
      <c r="E213" s="5">
        <v>0.5017476851851852</v>
      </c>
      <c r="F213" s="5">
        <v>0.55516203703703704</v>
      </c>
      <c r="G213" s="1">
        <v>800000001</v>
      </c>
      <c r="H213" s="1" t="s">
        <v>21</v>
      </c>
      <c r="I213" s="1" t="s">
        <v>37</v>
      </c>
      <c r="J213" s="5">
        <v>5.303240740740741E-2</v>
      </c>
      <c r="K213" s="5">
        <v>5.3414351851851859E-2</v>
      </c>
      <c r="L213" s="1" t="s">
        <v>73</v>
      </c>
      <c r="M213" s="1">
        <v>127370</v>
      </c>
      <c r="N213" s="1">
        <v>200249277</v>
      </c>
      <c r="O213" s="1">
        <v>1</v>
      </c>
      <c r="P213" s="3" t="e">
        <f>VLOOKUP(Tabla3[[#This Row],[Entrega]],#REF!,4)</f>
        <v>#REF!</v>
      </c>
      <c r="Q213" s="2" t="e">
        <f>VLOOKUP(Tabla3[[#This Row],[Entrega]],#REF!,5)</f>
        <v>#REF!</v>
      </c>
      <c r="R213" s="2" t="e">
        <f>VLOOKUP(Tabla3[[#This Row],[Entrega]],#REF!,7)</f>
        <v>#REF!</v>
      </c>
      <c r="S213" s="2" t="e">
        <f>VLOOKUP(Tabla3[[#This Row],[Entrega]],#REF!,19)</f>
        <v>#REF!</v>
      </c>
      <c r="T213" s="3" t="e">
        <f>VLOOKUP(Tabla3[[#This Row],[Entrega]],#REF!,20)</f>
        <v>#REF!</v>
      </c>
    </row>
    <row r="214" spans="1:20" x14ac:dyDescent="0.2">
      <c r="A214" s="1">
        <v>194350</v>
      </c>
      <c r="B214" s="4">
        <v>44831</v>
      </c>
      <c r="C214" s="1" t="s">
        <v>87</v>
      </c>
      <c r="D214" s="5">
        <v>0.47267361111111111</v>
      </c>
      <c r="E214" s="5">
        <v>0.48629629629629628</v>
      </c>
      <c r="F214" s="5">
        <v>0.52400462962962957</v>
      </c>
      <c r="G214" s="1">
        <v>800000891</v>
      </c>
      <c r="H214" s="1" t="s">
        <v>44</v>
      </c>
      <c r="I214" s="1" t="s">
        <v>67</v>
      </c>
      <c r="J214" s="5">
        <v>1.3622685185185184E-2</v>
      </c>
      <c r="K214" s="5">
        <v>3.770833333333333E-2</v>
      </c>
      <c r="L214" s="1" t="s">
        <v>98</v>
      </c>
      <c r="M214" s="1">
        <v>55307</v>
      </c>
      <c r="N214" s="1">
        <v>83324135</v>
      </c>
      <c r="O214" s="1">
        <v>1</v>
      </c>
      <c r="P214" s="3" t="e">
        <f>VLOOKUP(Tabla3[[#This Row],[Entrega]],#REF!,4)</f>
        <v>#REF!</v>
      </c>
      <c r="Q214" s="2" t="e">
        <f>VLOOKUP(Tabla3[[#This Row],[Entrega]],#REF!,5)</f>
        <v>#REF!</v>
      </c>
      <c r="R214" s="2" t="e">
        <f>VLOOKUP(Tabla3[[#This Row],[Entrega]],#REF!,7)</f>
        <v>#REF!</v>
      </c>
      <c r="S214" s="2" t="e">
        <f>VLOOKUP(Tabla3[[#This Row],[Entrega]],#REF!,19)</f>
        <v>#REF!</v>
      </c>
      <c r="T214" s="3" t="e">
        <f>VLOOKUP(Tabla3[[#This Row],[Entrega]],#REF!,20)</f>
        <v>#REF!</v>
      </c>
    </row>
    <row r="215" spans="1:20" x14ac:dyDescent="0.2">
      <c r="A215" s="1">
        <v>194349</v>
      </c>
      <c r="B215" s="4">
        <v>44831</v>
      </c>
      <c r="C215" s="1" t="s">
        <v>18</v>
      </c>
      <c r="D215" s="5">
        <v>0.44712962962962965</v>
      </c>
      <c r="E215" s="5">
        <v>0.47167824074074072</v>
      </c>
      <c r="F215" s="5">
        <v>0.5210069444444444</v>
      </c>
      <c r="G215" s="1">
        <v>800000000</v>
      </c>
      <c r="H215" s="1" t="s">
        <v>20</v>
      </c>
      <c r="I215" s="1" t="s">
        <v>231</v>
      </c>
      <c r="J215" s="5">
        <v>2.4548611111111115E-2</v>
      </c>
      <c r="K215" s="5">
        <v>4.9328703703703701E-2</v>
      </c>
      <c r="L215" s="1" t="s">
        <v>109</v>
      </c>
      <c r="M215" s="1">
        <v>127369</v>
      </c>
      <c r="N215" s="1">
        <v>200249276</v>
      </c>
      <c r="O215" s="1">
        <v>1</v>
      </c>
      <c r="P215" s="3" t="e">
        <f>VLOOKUP(Tabla3[[#This Row],[Entrega]],#REF!,4)</f>
        <v>#REF!</v>
      </c>
      <c r="Q215" s="2" t="e">
        <f>VLOOKUP(Tabla3[[#This Row],[Entrega]],#REF!,5)</f>
        <v>#REF!</v>
      </c>
      <c r="R215" s="2" t="e">
        <f>VLOOKUP(Tabla3[[#This Row],[Entrega]],#REF!,7)</f>
        <v>#REF!</v>
      </c>
      <c r="S215" s="2" t="e">
        <f>VLOOKUP(Tabla3[[#This Row],[Entrega]],#REF!,19)</f>
        <v>#REF!</v>
      </c>
      <c r="T215" s="3" t="e">
        <f>VLOOKUP(Tabla3[[#This Row],[Entrega]],#REF!,20)</f>
        <v>#REF!</v>
      </c>
    </row>
    <row r="216" spans="1:20" x14ac:dyDescent="0.2">
      <c r="A216" s="1">
        <v>194348</v>
      </c>
      <c r="B216" s="4">
        <v>44831</v>
      </c>
      <c r="C216" s="1" t="s">
        <v>87</v>
      </c>
      <c r="D216" s="5">
        <v>0.45892361111111107</v>
      </c>
      <c r="E216" s="5">
        <v>0.47478009259259263</v>
      </c>
      <c r="F216" s="5">
        <v>0.5183564814814815</v>
      </c>
      <c r="G216" s="1">
        <v>800000891</v>
      </c>
      <c r="H216" s="1" t="s">
        <v>44</v>
      </c>
      <c r="I216" s="1" t="s">
        <v>45</v>
      </c>
      <c r="J216" s="5">
        <v>1.5856481481481482E-2</v>
      </c>
      <c r="K216" s="5">
        <v>4.3576388888888894E-2</v>
      </c>
      <c r="L216" s="1" t="s">
        <v>160</v>
      </c>
      <c r="M216" s="1">
        <v>55306</v>
      </c>
      <c r="N216" s="1">
        <v>83324134</v>
      </c>
      <c r="O216" s="1">
        <v>1</v>
      </c>
      <c r="P216" s="3" t="e">
        <f>VLOOKUP(Tabla3[[#This Row],[Entrega]],#REF!,4)</f>
        <v>#REF!</v>
      </c>
      <c r="Q216" s="2" t="e">
        <f>VLOOKUP(Tabla3[[#This Row],[Entrega]],#REF!,5)</f>
        <v>#REF!</v>
      </c>
      <c r="R216" s="2" t="e">
        <f>VLOOKUP(Tabla3[[#This Row],[Entrega]],#REF!,7)</f>
        <v>#REF!</v>
      </c>
      <c r="S216" s="2" t="e">
        <f>VLOOKUP(Tabla3[[#This Row],[Entrega]],#REF!,19)</f>
        <v>#REF!</v>
      </c>
      <c r="T216" s="3" t="e">
        <f>VLOOKUP(Tabla3[[#This Row],[Entrega]],#REF!,20)</f>
        <v>#REF!</v>
      </c>
    </row>
    <row r="217" spans="1:20" x14ac:dyDescent="0.2">
      <c r="A217" s="1">
        <v>194347</v>
      </c>
      <c r="B217" s="4">
        <v>44831</v>
      </c>
      <c r="C217" s="1" t="s">
        <v>87</v>
      </c>
      <c r="D217" s="5">
        <v>0.43930555555555556</v>
      </c>
      <c r="E217" s="5">
        <v>0.46326388888888892</v>
      </c>
      <c r="F217" s="5">
        <v>0.48094907407407406</v>
      </c>
      <c r="G217" s="1">
        <v>800000891</v>
      </c>
      <c r="H217" s="1" t="s">
        <v>44</v>
      </c>
      <c r="I217" s="1" t="s">
        <v>46</v>
      </c>
      <c r="J217" s="5">
        <v>2.3958333333333331E-2</v>
      </c>
      <c r="K217" s="5">
        <v>1.7685185185185182E-2</v>
      </c>
      <c r="L217" s="1" t="s">
        <v>76</v>
      </c>
      <c r="M217" s="1">
        <v>55303</v>
      </c>
      <c r="N217" s="1">
        <v>83324127</v>
      </c>
      <c r="O217" s="1">
        <v>1</v>
      </c>
      <c r="P217" s="3" t="e">
        <f>VLOOKUP(Tabla3[[#This Row],[Entrega]],#REF!,4)</f>
        <v>#REF!</v>
      </c>
      <c r="Q217" s="2" t="e">
        <f>VLOOKUP(Tabla3[[#This Row],[Entrega]],#REF!,5)</f>
        <v>#REF!</v>
      </c>
      <c r="R217" s="2" t="e">
        <f>VLOOKUP(Tabla3[[#This Row],[Entrega]],#REF!,7)</f>
        <v>#REF!</v>
      </c>
      <c r="S217" s="2" t="e">
        <f>VLOOKUP(Tabla3[[#This Row],[Entrega]],#REF!,19)</f>
        <v>#REF!</v>
      </c>
      <c r="T217" s="3" t="e">
        <f>VLOOKUP(Tabla3[[#This Row],[Entrega]],#REF!,20)</f>
        <v>#REF!</v>
      </c>
    </row>
    <row r="218" spans="1:20" x14ac:dyDescent="0.2">
      <c r="A218" s="1">
        <v>194507</v>
      </c>
      <c r="B218" s="4">
        <v>44832</v>
      </c>
      <c r="C218" s="1" t="s">
        <v>91</v>
      </c>
      <c r="D218" s="5">
        <v>0.60784722222222221</v>
      </c>
      <c r="E218" s="5">
        <v>0.67539351851851848</v>
      </c>
      <c r="F218" s="5">
        <v>0.68145833333333339</v>
      </c>
      <c r="G218" s="1">
        <v>650000005</v>
      </c>
      <c r="H218" s="1" t="s">
        <v>44</v>
      </c>
      <c r="I218" s="1" t="s">
        <v>219</v>
      </c>
      <c r="J218" s="5">
        <v>6.7546296296296285E-2</v>
      </c>
      <c r="K218" s="5">
        <v>6.0648148148148145E-3</v>
      </c>
      <c r="L218" s="1" t="s">
        <v>220</v>
      </c>
      <c r="M218" s="1">
        <v>55342</v>
      </c>
      <c r="N218" s="1">
        <v>83324340</v>
      </c>
      <c r="O218" s="1">
        <v>1</v>
      </c>
      <c r="P218" s="3" t="e">
        <f>VLOOKUP(Tabla3[[#This Row],[Entrega]],#REF!,4)</f>
        <v>#REF!</v>
      </c>
      <c r="Q218" s="2" t="e">
        <f>VLOOKUP(Tabla3[[#This Row],[Entrega]],#REF!,5)</f>
        <v>#REF!</v>
      </c>
      <c r="R218" s="2" t="e">
        <f>VLOOKUP(Tabla3[[#This Row],[Entrega]],#REF!,7)</f>
        <v>#REF!</v>
      </c>
      <c r="S218" s="2" t="e">
        <f>VLOOKUP(Tabla3[[#This Row],[Entrega]],#REF!,19)</f>
        <v>#REF!</v>
      </c>
      <c r="T218" s="3" t="e">
        <f>VLOOKUP(Tabla3[[#This Row],[Entrega]],#REF!,20)</f>
        <v>#REF!</v>
      </c>
    </row>
    <row r="219" spans="1:20" x14ac:dyDescent="0.2">
      <c r="A219" s="1">
        <v>194345</v>
      </c>
      <c r="B219" s="4">
        <v>44831</v>
      </c>
      <c r="C219" s="1" t="s">
        <v>87</v>
      </c>
      <c r="D219" s="5">
        <v>0.43254629629629626</v>
      </c>
      <c r="E219" s="5">
        <v>0.44803240740740741</v>
      </c>
      <c r="F219" s="5">
        <v>0.47081018518518519</v>
      </c>
      <c r="G219" s="1">
        <v>800000891</v>
      </c>
      <c r="H219" s="1" t="s">
        <v>44</v>
      </c>
      <c r="I219" s="1" t="s">
        <v>88</v>
      </c>
      <c r="J219" s="5">
        <v>1.5486111111111112E-2</v>
      </c>
      <c r="K219" s="5">
        <v>2.2777777777777775E-2</v>
      </c>
      <c r="L219" s="1" t="s">
        <v>82</v>
      </c>
      <c r="M219" s="1">
        <v>55302</v>
      </c>
      <c r="N219" s="1">
        <v>83324126</v>
      </c>
      <c r="O219" s="1">
        <v>1</v>
      </c>
      <c r="P219" s="3" t="e">
        <f>VLOOKUP(Tabla3[[#This Row],[Entrega]],#REF!,4)</f>
        <v>#REF!</v>
      </c>
      <c r="Q219" s="2" t="e">
        <f>VLOOKUP(Tabla3[[#This Row],[Entrega]],#REF!,5)</f>
        <v>#REF!</v>
      </c>
      <c r="R219" s="2" t="e">
        <f>VLOOKUP(Tabla3[[#This Row],[Entrega]],#REF!,7)</f>
        <v>#REF!</v>
      </c>
      <c r="S219" s="2" t="e">
        <f>VLOOKUP(Tabla3[[#This Row],[Entrega]],#REF!,19)</f>
        <v>#REF!</v>
      </c>
      <c r="T219" s="3" t="e">
        <f>VLOOKUP(Tabla3[[#This Row],[Entrega]],#REF!,20)</f>
        <v>#REF!</v>
      </c>
    </row>
    <row r="220" spans="1:20" x14ac:dyDescent="0.2">
      <c r="A220" s="1">
        <v>194344</v>
      </c>
      <c r="B220" s="4">
        <v>44831</v>
      </c>
      <c r="C220" s="1" t="s">
        <v>18</v>
      </c>
      <c r="D220" s="5">
        <v>0.4001736111111111</v>
      </c>
      <c r="E220" s="5">
        <v>0.41771990740740739</v>
      </c>
      <c r="F220" s="5">
        <v>0.46214120370370365</v>
      </c>
      <c r="G220" s="1">
        <v>800000000</v>
      </c>
      <c r="H220" s="1" t="s">
        <v>20</v>
      </c>
      <c r="I220" s="1" t="s">
        <v>233</v>
      </c>
      <c r="J220" s="5">
        <v>1.7546296296296296E-2</v>
      </c>
      <c r="K220" s="5">
        <v>4.4421296296296292E-2</v>
      </c>
      <c r="L220" s="1" t="s">
        <v>107</v>
      </c>
      <c r="M220" s="1">
        <v>127368</v>
      </c>
      <c r="N220" s="1">
        <v>200249275</v>
      </c>
      <c r="O220" s="1">
        <v>1</v>
      </c>
      <c r="P220" s="3" t="e">
        <f>VLOOKUP(Tabla3[[#This Row],[Entrega]],#REF!,4)</f>
        <v>#REF!</v>
      </c>
      <c r="Q220" s="2" t="e">
        <f>VLOOKUP(Tabla3[[#This Row],[Entrega]],#REF!,5)</f>
        <v>#REF!</v>
      </c>
      <c r="R220" s="2" t="e">
        <f>VLOOKUP(Tabla3[[#This Row],[Entrega]],#REF!,7)</f>
        <v>#REF!</v>
      </c>
      <c r="S220" s="2" t="e">
        <f>VLOOKUP(Tabla3[[#This Row],[Entrega]],#REF!,19)</f>
        <v>#REF!</v>
      </c>
      <c r="T220" s="3" t="e">
        <f>VLOOKUP(Tabla3[[#This Row],[Entrega]],#REF!,20)</f>
        <v>#REF!</v>
      </c>
    </row>
    <row r="221" spans="1:20" x14ac:dyDescent="0.2">
      <c r="A221" s="1">
        <v>194660</v>
      </c>
      <c r="B221" s="4">
        <v>44833</v>
      </c>
      <c r="C221" s="1" t="s">
        <v>16</v>
      </c>
      <c r="D221" s="5">
        <v>0.66041666666666665</v>
      </c>
      <c r="E221" s="5">
        <v>0.72031250000000002</v>
      </c>
      <c r="F221" s="5">
        <v>0.75328703703703714</v>
      </c>
      <c r="G221" s="1">
        <v>800000670</v>
      </c>
      <c r="H221" s="1" t="s">
        <v>44</v>
      </c>
      <c r="I221" s="1" t="s">
        <v>69</v>
      </c>
      <c r="J221" s="5">
        <v>5.9895833333333336E-2</v>
      </c>
      <c r="K221" s="5">
        <v>3.2974537037037038E-2</v>
      </c>
      <c r="L221" s="1" t="s">
        <v>187</v>
      </c>
      <c r="M221" s="1">
        <v>55360</v>
      </c>
      <c r="N221" s="1">
        <v>83324536</v>
      </c>
      <c r="O221" s="1">
        <v>1</v>
      </c>
      <c r="P221" s="3" t="e">
        <f>VLOOKUP(Tabla3[[#This Row],[Entrega]],#REF!,4)</f>
        <v>#REF!</v>
      </c>
      <c r="Q221" s="2" t="e">
        <f>VLOOKUP(Tabla3[[#This Row],[Entrega]],#REF!,5)</f>
        <v>#REF!</v>
      </c>
      <c r="R221" s="2" t="e">
        <f>VLOOKUP(Tabla3[[#This Row],[Entrega]],#REF!,7)</f>
        <v>#REF!</v>
      </c>
      <c r="S221" s="2" t="e">
        <f>VLOOKUP(Tabla3[[#This Row],[Entrega]],#REF!,19)</f>
        <v>#REF!</v>
      </c>
      <c r="T221" s="3" t="e">
        <f>VLOOKUP(Tabla3[[#This Row],[Entrega]],#REF!,20)</f>
        <v>#REF!</v>
      </c>
    </row>
    <row r="222" spans="1:20" x14ac:dyDescent="0.2">
      <c r="A222" s="1">
        <v>194342</v>
      </c>
      <c r="B222" s="4">
        <v>44831</v>
      </c>
      <c r="C222" s="1" t="s">
        <v>18</v>
      </c>
      <c r="D222" s="5">
        <v>0.32013888888888892</v>
      </c>
      <c r="E222" s="5">
        <v>0.37495370370370368</v>
      </c>
      <c r="F222" s="5">
        <v>0.41024305555555557</v>
      </c>
      <c r="G222" s="1">
        <v>800000001</v>
      </c>
      <c r="H222" s="1" t="s">
        <v>21</v>
      </c>
      <c r="I222" s="1" t="s">
        <v>37</v>
      </c>
      <c r="J222" s="5">
        <v>5.4814814814814816E-2</v>
      </c>
      <c r="K222" s="5">
        <v>3.5289351851851856E-2</v>
      </c>
      <c r="L222" s="1" t="s">
        <v>73</v>
      </c>
      <c r="M222" s="1">
        <v>127367</v>
      </c>
      <c r="N222" s="1">
        <v>200249274</v>
      </c>
      <c r="O222" s="1">
        <v>1</v>
      </c>
      <c r="P222" s="3" t="e">
        <f>VLOOKUP(Tabla3[[#This Row],[Entrega]],#REF!,4)</f>
        <v>#REF!</v>
      </c>
      <c r="Q222" s="2" t="e">
        <f>VLOOKUP(Tabla3[[#This Row],[Entrega]],#REF!,5)</f>
        <v>#REF!</v>
      </c>
      <c r="R222" s="2" t="e">
        <f>VLOOKUP(Tabla3[[#This Row],[Entrega]],#REF!,7)</f>
        <v>#REF!</v>
      </c>
      <c r="S222" s="2" t="e">
        <f>VLOOKUP(Tabla3[[#This Row],[Entrega]],#REF!,19)</f>
        <v>#REF!</v>
      </c>
      <c r="T222" s="3" t="e">
        <f>VLOOKUP(Tabla3[[#This Row],[Entrega]],#REF!,20)</f>
        <v>#REF!</v>
      </c>
    </row>
    <row r="223" spans="1:20" x14ac:dyDescent="0.2">
      <c r="A223" s="1">
        <v>194341</v>
      </c>
      <c r="B223" s="4">
        <v>44831</v>
      </c>
      <c r="C223" s="1" t="s">
        <v>87</v>
      </c>
      <c r="D223" s="5">
        <v>0.34143518518518517</v>
      </c>
      <c r="E223" s="5">
        <v>0.36196759259259265</v>
      </c>
      <c r="F223" s="5">
        <v>0.38721064814814815</v>
      </c>
      <c r="G223" s="1">
        <v>800000891</v>
      </c>
      <c r="H223" s="1" t="s">
        <v>44</v>
      </c>
      <c r="I223" s="1" t="s">
        <v>67</v>
      </c>
      <c r="J223" s="5">
        <v>2.0532407407407405E-2</v>
      </c>
      <c r="K223" s="5">
        <v>2.5243055555555557E-2</v>
      </c>
      <c r="L223" s="1" t="s">
        <v>98</v>
      </c>
      <c r="M223" s="1">
        <v>55300</v>
      </c>
      <c r="N223" s="1">
        <v>83324114</v>
      </c>
      <c r="O223" s="1">
        <v>1</v>
      </c>
      <c r="P223" s="3" t="e">
        <f>VLOOKUP(Tabla3[[#This Row],[Entrega]],#REF!,4)</f>
        <v>#REF!</v>
      </c>
      <c r="Q223" s="2" t="e">
        <f>VLOOKUP(Tabla3[[#This Row],[Entrega]],#REF!,5)</f>
        <v>#REF!</v>
      </c>
      <c r="R223" s="2" t="e">
        <f>VLOOKUP(Tabla3[[#This Row],[Entrega]],#REF!,7)</f>
        <v>#REF!</v>
      </c>
      <c r="S223" s="2" t="e">
        <f>VLOOKUP(Tabla3[[#This Row],[Entrega]],#REF!,19)</f>
        <v>#REF!</v>
      </c>
      <c r="T223" s="3" t="e">
        <f>VLOOKUP(Tabla3[[#This Row],[Entrega]],#REF!,20)</f>
        <v>#REF!</v>
      </c>
    </row>
    <row r="224" spans="1:20" x14ac:dyDescent="0.2">
      <c r="A224" s="1">
        <v>194340</v>
      </c>
      <c r="B224" s="4">
        <v>44831</v>
      </c>
      <c r="C224" s="1" t="s">
        <v>87</v>
      </c>
      <c r="D224" s="5">
        <v>0.30944444444444447</v>
      </c>
      <c r="E224" s="5">
        <v>0.36194444444444446</v>
      </c>
      <c r="F224" s="5">
        <v>0.3850925925925926</v>
      </c>
      <c r="G224" s="1">
        <v>800000891</v>
      </c>
      <c r="H224" s="1" t="s">
        <v>44</v>
      </c>
      <c r="I224" s="1" t="s">
        <v>45</v>
      </c>
      <c r="J224" s="5">
        <v>5.2499999999999998E-2</v>
      </c>
      <c r="K224" s="5">
        <v>2.314814814814815E-2</v>
      </c>
      <c r="L224" s="1" t="s">
        <v>160</v>
      </c>
      <c r="M224" s="1">
        <v>55299</v>
      </c>
      <c r="N224" s="1">
        <v>83324113</v>
      </c>
      <c r="O224" s="1">
        <v>1</v>
      </c>
      <c r="P224" s="3" t="e">
        <f>VLOOKUP(Tabla3[[#This Row],[Entrega]],#REF!,4)</f>
        <v>#REF!</v>
      </c>
      <c r="Q224" s="2" t="e">
        <f>VLOOKUP(Tabla3[[#This Row],[Entrega]],#REF!,5)</f>
        <v>#REF!</v>
      </c>
      <c r="R224" s="2" t="e">
        <f>VLOOKUP(Tabla3[[#This Row],[Entrega]],#REF!,7)</f>
        <v>#REF!</v>
      </c>
      <c r="S224" s="2" t="e">
        <f>VLOOKUP(Tabla3[[#This Row],[Entrega]],#REF!,19)</f>
        <v>#REF!</v>
      </c>
      <c r="T224" s="3" t="e">
        <f>VLOOKUP(Tabla3[[#This Row],[Entrega]],#REF!,20)</f>
        <v>#REF!</v>
      </c>
    </row>
    <row r="225" spans="1:20" x14ac:dyDescent="0.2">
      <c r="A225" s="1">
        <v>194339</v>
      </c>
      <c r="B225" s="4">
        <v>44831</v>
      </c>
      <c r="C225" s="1" t="s">
        <v>87</v>
      </c>
      <c r="D225" s="5">
        <v>0.3054513888888889</v>
      </c>
      <c r="E225" s="5">
        <v>0.3417013888888889</v>
      </c>
      <c r="F225" s="5">
        <v>0.37146990740740743</v>
      </c>
      <c r="G225" s="1">
        <v>800000891</v>
      </c>
      <c r="H225" s="1" t="s">
        <v>44</v>
      </c>
      <c r="I225" s="1" t="s">
        <v>46</v>
      </c>
      <c r="J225" s="5">
        <v>3.6249999999999998E-2</v>
      </c>
      <c r="K225" s="5">
        <v>2.9768518518518517E-2</v>
      </c>
      <c r="L225" s="1" t="s">
        <v>76</v>
      </c>
      <c r="M225" s="1">
        <v>55298</v>
      </c>
      <c r="N225" s="1">
        <v>83324110</v>
      </c>
      <c r="O225" s="1">
        <v>1</v>
      </c>
      <c r="P225" s="3" t="e">
        <f>VLOOKUP(Tabla3[[#This Row],[Entrega]],#REF!,4)</f>
        <v>#REF!</v>
      </c>
      <c r="Q225" s="2" t="e">
        <f>VLOOKUP(Tabla3[[#This Row],[Entrega]],#REF!,5)</f>
        <v>#REF!</v>
      </c>
      <c r="R225" s="2" t="e">
        <f>VLOOKUP(Tabla3[[#This Row],[Entrega]],#REF!,7)</f>
        <v>#REF!</v>
      </c>
      <c r="S225" s="2" t="e">
        <f>VLOOKUP(Tabla3[[#This Row],[Entrega]],#REF!,19)</f>
        <v>#REF!</v>
      </c>
      <c r="T225" s="3" t="e">
        <f>VLOOKUP(Tabla3[[#This Row],[Entrega]],#REF!,20)</f>
        <v>#REF!</v>
      </c>
    </row>
    <row r="226" spans="1:20" x14ac:dyDescent="0.2">
      <c r="A226" s="1">
        <v>194338</v>
      </c>
      <c r="B226" s="4">
        <v>44831</v>
      </c>
      <c r="C226" s="1" t="s">
        <v>87</v>
      </c>
      <c r="D226" s="5">
        <v>0.30512731481481481</v>
      </c>
      <c r="E226" s="5">
        <v>0.33910879629629626</v>
      </c>
      <c r="F226" s="5">
        <v>0.36608796296296298</v>
      </c>
      <c r="G226" s="1">
        <v>800000891</v>
      </c>
      <c r="H226" s="1" t="s">
        <v>44</v>
      </c>
      <c r="I226" s="1" t="s">
        <v>88</v>
      </c>
      <c r="J226" s="5">
        <v>3.3981481481481481E-2</v>
      </c>
      <c r="K226" s="5">
        <v>2.6979166666666669E-2</v>
      </c>
      <c r="L226" s="1" t="s">
        <v>82</v>
      </c>
      <c r="M226" s="1">
        <v>55297</v>
      </c>
      <c r="N226" s="1">
        <v>83324106</v>
      </c>
      <c r="O226" s="1">
        <v>1</v>
      </c>
      <c r="P226" s="3" t="e">
        <f>VLOOKUP(Tabla3[[#This Row],[Entrega]],#REF!,4)</f>
        <v>#REF!</v>
      </c>
      <c r="Q226" s="2" t="e">
        <f>VLOOKUP(Tabla3[[#This Row],[Entrega]],#REF!,5)</f>
        <v>#REF!</v>
      </c>
      <c r="R226" s="2" t="e">
        <f>VLOOKUP(Tabla3[[#This Row],[Entrega]],#REF!,7)</f>
        <v>#REF!</v>
      </c>
      <c r="S226" s="2" t="e">
        <f>VLOOKUP(Tabla3[[#This Row],[Entrega]],#REF!,19)</f>
        <v>#REF!</v>
      </c>
      <c r="T226" s="3" t="e">
        <f>VLOOKUP(Tabla3[[#This Row],[Entrega]],#REF!,20)</f>
        <v>#REF!</v>
      </c>
    </row>
  </sheetData>
  <phoneticPr fontId="3" type="noConversion"/>
  <pageMargins left="0.7" right="0.7" top="0.75" bottom="0.75" header="0.3" footer="0.3"/>
  <pageSetup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Semana 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2024-05-20T14:30:00Z</dcterms:created>
  <dcterms:modified xsi:type="dcterms:W3CDTF">2026-10-04T15:38:20Z</dcterms:modified>
</cp:coreProperties>
</file>